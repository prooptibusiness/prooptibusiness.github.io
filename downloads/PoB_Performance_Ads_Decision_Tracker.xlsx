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ce5a2241f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79040b38ea46d8"/>
    <x:sheet xmlns:r="http://schemas.openxmlformats.org/officeDocument/2006/relationships" name="CAMPAIGN_DATA" sheetId="2" r:id="R9727d0d8448143e2"/>
    <x:sheet xmlns:r="http://schemas.openxmlformats.org/officeDocument/2006/relationships" name="DECISION_RULES" sheetId="3" r:id="R9b640d77fa5e417f"/>
    <x:sheet xmlns:r="http://schemas.openxmlformats.org/officeDocument/2006/relationships" name="REVIEW_3D_7D" sheetId="4" r:id="R5e3470f5544f4483"/>
    <x:sheet xmlns:r="http://schemas.openxmlformats.org/officeDocument/2006/relationships" name="DASHBOARD" sheetId="5" r:id="Rd41bbdda5e1b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0%"/>
    <x:numFmt numFmtId="203" formatCode="0.0%"/>
    <x:numFmt numFmtId="204" formatCode="0.00"/>
  </x:numFmts>
  <x:fonts count="9">
    <x:font>
      <x:sz val="11"/>
      <x:name val="Carlito"/>
    </x:font>
    <x:font>
      <x:b/>
      <x:sz val="22"/>
      <x:color rgb="FFFFFFFF"/>
      <x:name val="Carlito"/>
    </x:font>
    <x:font>
      <x:i/>
      <x:sz val="10"/>
      <x:color rgb="FFFFFFFF"/>
      <x:name val="Carlito"/>
    </x:font>
    <x:font>
      <x:b/>
      <x:sz val="11"/>
      <x:color rgb="FFFF735E"/>
      <x:name val="Carlito"/>
    </x:font>
    <x:font>
      <x:b/>
      <x:sz val="9"/>
      <x:color rgb="FFFFFFFF"/>
      <x:name val="Carlito"/>
    </x:font>
    <x:font>
      <x:sz val="9"/>
      <x:color rgb="FF10122A"/>
      <x:name val="Carlito"/>
    </x:font>
    <x:font>
      <x:b/>
      <x:sz val="9"/>
      <x:color rgb="FF10122A"/>
      <x:name val="Carlito"/>
    </x:font>
    <x:font>
      <x:b/>
      <x:sz val="8"/>
      <x:color rgb="FF6C6A7E"/>
      <x:name val="Carlito"/>
    </x:font>
    <x:font>
      <x:b/>
      <x:sz val="28"/>
      <x:color rgb="FF1012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122A"/>
      </x:patternFill>
    </x:fill>
    <x:fill>
      <x:patternFill patternType="solid">
        <x:fgColor rgb="FFFF735E"/>
      </x:patternFill>
    </x:fill>
    <x:fill>
      <x:patternFill patternType="solid">
        <x:fgColor rgb="FFECE9F8"/>
      </x:patternFill>
    </x:fill>
    <x:fill>
      <x:patternFill patternType="solid">
        <x:fgColor rgb="FFFFFFFF"/>
      </x:patternFill>
    </x:fill>
    <x:fill>
      <x:patternFill patternType="solid">
        <x:fgColor rgb="FFFFF5C7"/>
      </x:patternFill>
    </x:fill>
    <x:fill>
      <x:patternFill patternType="solid">
        <x:fgColor rgb="FFC8FF62"/>
      </x:patternFill>
    </x:fill>
    <x:fill>
      <x:patternFill patternType="solid">
        <x:fgColor rgb="FF3EE7E0"/>
      </x:patternFill>
    </x:fill>
  </x:fills>
  <x:borders count="10">
    <x:border/>
    <x:border>
      <x:bottom style="medium">
        <x:color rgb="FF6C3BFF"/>
      </x:bottom>
    </x:border>
    <x:border>
      <x:bottom style="thin">
        <x:color rgb="FFD7D3E7"/>
      </x:bottom>
    </x:border>
    <x:border>
      <x:left style="thin">
        <x:color rgb="FFD7D3E7"/>
      </x:left>
      <x:top style="thin">
        <x:color rgb="FFD7D3E7"/>
      </x:top>
    </x:border>
    <x:border>
      <x:top style="thin">
        <x:color rgb="FFD7D3E7"/>
      </x:top>
    </x:border>
    <x:border>
      <x:right style="thin">
        <x:color rgb="FFD7D3E7"/>
      </x:right>
      <x:top style="thin">
        <x:color rgb="FFD7D3E7"/>
      </x:top>
    </x:border>
    <x:border>
      <x:left style="thin">
        <x:color rgb="FFD7D3E7"/>
      </x:left>
    </x:border>
    <x:border>
      <x:right style="thin">
        <x:color rgb="FFD7D3E7"/>
      </x:right>
    </x:border>
    <x:border>
      <x:left style="thin">
        <x:color rgb="FFD7D3E7"/>
      </x:left>
      <x:bottom style="thin">
        <x:color rgb="FFD7D3E7"/>
      </x:bottom>
    </x:border>
    <x:border>
      <x:right style="thin">
        <x:color rgb="FFD7D3E7"/>
      </x:right>
      <x:bottom style="thin">
        <x:color rgb="FFD7D3E7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5" fillId="6" borderId="2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1" fontId="5" fillId="6" borderId="2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203" fontId="5" fillId="5" borderId="0" xfId="0" applyNumberFormat="1" applyFont="1" applyFill="1" applyBorder="1" applyAlignment="1">
      <x:alignment vertical="center" wrapText="1"/>
    </x:xf>
    <x:xf numFmtId="203" fontId="5" fillId="5" borderId="2" xfId="0" applyNumberFormat="1" applyFont="1" applyFill="1" applyBorder="1" applyAlignment="1">
      <x:alignment vertical="center" wrapText="1"/>
    </x:xf>
    <x:xf numFmtId="204" fontId="5" fillId="5" borderId="0" xfId="0" applyNumberFormat="1" applyFont="1" applyFill="1" applyBorder="1" applyAlignment="1">
      <x:alignment vertical="center" wrapText="1"/>
    </x:xf>
    <x:xf numFmtId="204" fontId="5" fillId="5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2" xfId="0" applyNumberFormat="1" applyFont="1" applyFill="1" applyBorder="1"/>
    <x:xf numFmtId="0" fontId="8" fillId="5" borderId="9" xfId="0" applyNumberFormat="1" applyFont="1" applyFill="1" applyBorder="1"/>
    <x:xf numFmtId="201" fontId="8" fillId="5" borderId="3" xfId="0" applyNumberFormat="1" applyFont="1" applyFill="1" applyBorder="1"/>
    <x:xf numFmtId="201" fontId="8" fillId="5" borderId="4" xfId="0" applyNumberFormat="1" applyFont="1" applyFill="1" applyBorder="1"/>
    <x:xf numFmtId="201" fontId="8" fillId="5" borderId="5" xfId="0" applyNumberFormat="1" applyFont="1" applyFill="1" applyBorder="1"/>
    <x:xf numFmtId="201" fontId="8" fillId="5" borderId="6" xfId="0" applyNumberFormat="1" applyFont="1" applyFill="1" applyBorder="1"/>
    <x:xf numFmtId="201" fontId="8" fillId="5" borderId="0" xfId="0" applyNumberFormat="1" applyFont="1" applyFill="1" applyBorder="1"/>
    <x:xf numFmtId="201" fontId="8" fillId="5" borderId="7" xfId="0" applyNumberFormat="1" applyFont="1" applyFill="1" applyBorder="1"/>
    <x:xf numFmtId="201" fontId="8" fillId="5" borderId="8" xfId="0" applyNumberFormat="1" applyFont="1" applyFill="1" applyBorder="1"/>
    <x:xf numFmtId="201" fontId="8" fillId="5" borderId="2" xfId="0" applyNumberFormat="1" applyFont="1" applyFill="1" applyBorder="1"/>
    <x:xf numFmtId="201" fontId="8" fillId="5" borderId="9" xfId="0" applyNumberFormat="1" applyFont="1" applyFill="1" applyBorder="1"/>
    <x:xf numFmtId="201" fontId="8" fillId="5" borderId="3" xfId="0" applyNumberFormat="1" applyFont="1" applyFill="1" applyBorder="1" applyAlignment="1">
      <x:alignment horizontal="center"/>
    </x:xf>
    <x:xf numFmtId="201" fontId="8" fillId="5" borderId="4" xfId="0" applyNumberFormat="1" applyFont="1" applyFill="1" applyBorder="1" applyAlignment="1">
      <x:alignment horizontal="center"/>
    </x:xf>
    <x:xf numFmtId="201" fontId="8" fillId="5" borderId="5" xfId="0" applyNumberFormat="1" applyFont="1" applyFill="1" applyBorder="1" applyAlignment="1">
      <x:alignment horizontal="center"/>
    </x:xf>
    <x:xf numFmtId="201" fontId="8" fillId="5" borderId="6" xfId="0" applyNumberFormat="1" applyFont="1" applyFill="1" applyBorder="1" applyAlignment="1">
      <x:alignment horizontal="center"/>
    </x:xf>
    <x:xf numFmtId="201" fontId="8" fillId="5" borderId="0" xfId="0" applyNumberFormat="1" applyFont="1" applyFill="1" applyBorder="1" applyAlignment="1">
      <x:alignment horizontal="center"/>
    </x:xf>
    <x:xf numFmtId="201" fontId="8" fillId="5" borderId="7" xfId="0" applyNumberFormat="1" applyFont="1" applyFill="1" applyBorder="1" applyAlignment="1">
      <x:alignment horizontal="center"/>
    </x:xf>
    <x:xf numFmtId="201" fontId="8" fillId="5" borderId="8" xfId="0" applyNumberFormat="1" applyFont="1" applyFill="1" applyBorder="1" applyAlignment="1">
      <x:alignment horizontal="center"/>
    </x:xf>
    <x:xf numFmtId="201" fontId="8" fillId="5" borderId="2" xfId="0" applyNumberFormat="1" applyFont="1" applyFill="1" applyBorder="1" applyAlignment="1">
      <x:alignment horizontal="center"/>
    </x:xf>
    <x:xf numFmtId="201" fontId="8" fillId="5" borderId="9" xfId="0" applyNumberFormat="1" applyFont="1" applyFill="1" applyBorder="1" applyAlignment="1">
      <x:alignment horizontal="center"/>
    </x:xf>
    <x:xf numFmtId="201" fontId="8" fillId="5" borderId="3" xfId="0" applyNumberFormat="1" applyFont="1" applyFill="1" applyBorder="1" applyAlignment="1">
      <x:alignment horizontal="center" vertical="center"/>
    </x:xf>
    <x:xf numFmtId="201" fontId="8" fillId="5" borderId="4" xfId="0" applyNumberFormat="1" applyFont="1" applyFill="1" applyBorder="1" applyAlignment="1">
      <x:alignment horizontal="center" vertical="center"/>
    </x:xf>
    <x:xf numFmtId="201" fontId="8" fillId="5" borderId="5" xfId="0" applyNumberFormat="1" applyFont="1" applyFill="1" applyBorder="1" applyAlignment="1">
      <x:alignment horizontal="center" vertical="center"/>
    </x:xf>
    <x:xf numFmtId="201" fontId="8" fillId="5" borderId="6" xfId="0" applyNumberFormat="1" applyFont="1" applyFill="1" applyBorder="1" applyAlignment="1">
      <x:alignment horizontal="center" vertical="center"/>
    </x:xf>
    <x:xf numFmtId="201" fontId="8" fillId="5" borderId="0" xfId="0" applyNumberFormat="1" applyFont="1" applyFill="1" applyBorder="1" applyAlignment="1">
      <x:alignment horizontal="center" vertical="center"/>
    </x:xf>
    <x:xf numFmtId="201" fontId="8" fillId="5" borderId="7" xfId="0" applyNumberFormat="1" applyFont="1" applyFill="1" applyBorder="1" applyAlignment="1">
      <x:alignment horizontal="center" vertical="center"/>
    </x:xf>
    <x:xf numFmtId="201" fontId="8" fillId="5" borderId="8" xfId="0" applyNumberFormat="1" applyFont="1" applyFill="1" applyBorder="1" applyAlignment="1">
      <x:alignment horizontal="center" vertical="center"/>
    </x:xf>
    <x:xf numFmtId="201" fontId="8" fillId="5" borderId="2" xfId="0" applyNumberFormat="1" applyFont="1" applyFill="1" applyBorder="1" applyAlignment="1">
      <x:alignment horizontal="center" vertical="center"/>
    </x:xf>
    <x:xf numFmtId="201" fontId="8" fillId="5" borderId="9" xfId="0" applyNumberFormat="1" applyFont="1" applyFill="1" applyBorder="1" applyAlignment="1">
      <x:alignment horizontal="center" vertical="center"/>
    </x:xf>
    <x:xf numFmtId="203" fontId="8" fillId="5" borderId="3" xfId="0" applyNumberFormat="1" applyFont="1" applyFill="1" applyBorder="1"/>
    <x:xf numFmtId="203" fontId="8" fillId="5" borderId="4" xfId="0" applyNumberFormat="1" applyFont="1" applyFill="1" applyBorder="1"/>
    <x:xf numFmtId="203" fontId="8" fillId="5" borderId="5" xfId="0" applyNumberFormat="1" applyFont="1" applyFill="1" applyBorder="1"/>
    <x:xf numFmtId="203" fontId="8" fillId="5" borderId="6" xfId="0" applyNumberFormat="1" applyFont="1" applyFill="1" applyBorder="1"/>
    <x:xf numFmtId="203" fontId="8" fillId="5" borderId="0" xfId="0" applyNumberFormat="1" applyFont="1" applyFill="1" applyBorder="1"/>
    <x:xf numFmtId="203" fontId="8" fillId="5" borderId="7" xfId="0" applyNumberFormat="1" applyFont="1" applyFill="1" applyBorder="1"/>
    <x:xf numFmtId="203" fontId="8" fillId="5" borderId="8" xfId="0" applyNumberFormat="1" applyFont="1" applyFill="1" applyBorder="1"/>
    <x:xf numFmtId="203" fontId="8" fillId="5" borderId="2" xfId="0" applyNumberFormat="1" applyFont="1" applyFill="1" applyBorder="1"/>
    <x:xf numFmtId="203" fontId="8" fillId="5" borderId="9" xfId="0" applyNumberFormat="1" applyFont="1" applyFill="1" applyBorder="1"/>
    <x:xf numFmtId="203" fontId="8" fillId="5" borderId="3" xfId="0" applyNumberFormat="1" applyFont="1" applyFill="1" applyBorder="1" applyAlignment="1">
      <x:alignment horizontal="center"/>
    </x:xf>
    <x:xf numFmtId="203" fontId="8" fillId="5" borderId="4" xfId="0" applyNumberFormat="1" applyFont="1" applyFill="1" applyBorder="1" applyAlignment="1">
      <x:alignment horizontal="center"/>
    </x:xf>
    <x:xf numFmtId="203" fontId="8" fillId="5" borderId="5" xfId="0" applyNumberFormat="1" applyFont="1" applyFill="1" applyBorder="1" applyAlignment="1">
      <x:alignment horizontal="center"/>
    </x:xf>
    <x:xf numFmtId="203" fontId="8" fillId="5" borderId="6" xfId="0" applyNumberFormat="1" applyFont="1" applyFill="1" applyBorder="1" applyAlignment="1">
      <x:alignment horizontal="center"/>
    </x:xf>
    <x:xf numFmtId="203" fontId="8" fillId="5" borderId="0" xfId="0" applyNumberFormat="1" applyFont="1" applyFill="1" applyBorder="1" applyAlignment="1">
      <x:alignment horizontal="center"/>
    </x:xf>
    <x:xf numFmtId="203" fontId="8" fillId="5" borderId="7" xfId="0" applyNumberFormat="1" applyFont="1" applyFill="1" applyBorder="1" applyAlignment="1">
      <x:alignment horizontal="center"/>
    </x:xf>
    <x:xf numFmtId="203" fontId="8" fillId="5" borderId="8" xfId="0" applyNumberFormat="1" applyFont="1" applyFill="1" applyBorder="1" applyAlignment="1">
      <x:alignment horizontal="center"/>
    </x:xf>
    <x:xf numFmtId="203" fontId="8" fillId="5" borderId="2" xfId="0" applyNumberFormat="1" applyFont="1" applyFill="1" applyBorder="1" applyAlignment="1">
      <x:alignment horizontal="center"/>
    </x:xf>
    <x:xf numFmtId="203" fontId="8" fillId="5" borderId="9" xfId="0" applyNumberFormat="1" applyFont="1" applyFill="1" applyBorder="1" applyAlignment="1">
      <x:alignment horizontal="center"/>
    </x:xf>
    <x:xf numFmtId="203" fontId="8" fillId="5" borderId="3" xfId="0" applyNumberFormat="1" applyFont="1" applyFill="1" applyBorder="1" applyAlignment="1">
      <x:alignment horizontal="center" vertical="center"/>
    </x:xf>
    <x:xf numFmtId="203" fontId="8" fillId="5" borderId="4" xfId="0" applyNumberFormat="1" applyFont="1" applyFill="1" applyBorder="1" applyAlignment="1">
      <x:alignment horizontal="center" vertical="center"/>
    </x:xf>
    <x:xf numFmtId="203" fontId="8" fillId="5" borderId="5" xfId="0" applyNumberFormat="1" applyFont="1" applyFill="1" applyBorder="1" applyAlignment="1">
      <x:alignment horizontal="center" vertical="center"/>
    </x:xf>
    <x:xf numFmtId="203" fontId="8" fillId="5" borderId="6" xfId="0" applyNumberFormat="1" applyFont="1" applyFill="1" applyBorder="1" applyAlignment="1">
      <x:alignment horizontal="center" vertical="center"/>
    </x:xf>
    <x:xf numFmtId="203" fontId="8" fillId="5" borderId="0" xfId="0" applyNumberFormat="1" applyFont="1" applyFill="1" applyBorder="1" applyAlignment="1">
      <x:alignment horizontal="center" vertical="center"/>
    </x:xf>
    <x:xf numFmtId="203" fontId="8" fillId="5" borderId="7" xfId="0" applyNumberFormat="1" applyFont="1" applyFill="1" applyBorder="1" applyAlignment="1">
      <x:alignment horizontal="center" vertical="center"/>
    </x:xf>
    <x:xf numFmtId="203" fontId="8" fillId="5" borderId="8" xfId="0" applyNumberFormat="1" applyFont="1" applyFill="1" applyBorder="1" applyAlignment="1">
      <x:alignment horizontal="center" vertical="center"/>
    </x:xf>
    <x:xf numFmtId="203" fontId="8" fillId="5" borderId="2" xfId="0" applyNumberFormat="1" applyFont="1" applyFill="1" applyBorder="1" applyAlignment="1">
      <x:alignment horizontal="center" vertical="center"/>
    </x:xf>
    <x:xf numFmtId="203" fontId="8" fillId="5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A72F2A"/>
      </x:font>
      <x:fill>
        <x:patternFill patternType="solid">
          <x:bgColor rgb="FFFF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1a61fac4c45a0" /><Relationship Type="http://schemas.openxmlformats.org/officeDocument/2006/relationships/theme" Target="/xl/theme/theme1.xml" Id="R6141d624e8fd4144" /><Relationship Type="http://schemas.openxmlformats.org/officeDocument/2006/relationships/sharedStrings" Target="/xl/sharedStrings.xml" Id="Rf11ac9181b5b4abd" /><Relationship Type="http://schemas.openxmlformats.org/officeDocument/2006/relationships/worksheet" Target="/xl/worksheets/sheet1.xml" Id="Re579040b38ea46d8" /><Relationship Type="http://schemas.openxmlformats.org/officeDocument/2006/relationships/worksheet" Target="/xl/worksheets/sheet2.xml" Id="R9727d0d8448143e2" /><Relationship Type="http://schemas.openxmlformats.org/officeDocument/2006/relationships/worksheet" Target="/xl/worksheets/sheet3.xml" Id="R9b640d77fa5e417f" /><Relationship Type="http://schemas.openxmlformats.org/officeDocument/2006/relationships/worksheet" Target="/xl/worksheets/sheet4.xml" Id="R5e3470f5544f4483" /><Relationship Type="http://schemas.openxmlformats.org/officeDocument/2006/relationships/worksheet" Target="/xl/worksheets/sheet5.xml" Id="Rd41bbdda5e1b4a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4bc62f6a694e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vs Revenue by platform (VND)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'DASHBOARD'!$C$11:$C$14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4bc62f6a694e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c24e53a61bf41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2" hidden="0" customWidth="1"/>
    <x:col min="3" max="3" width="42" hidden="0" customWidth="1"/>
    <x:col min="4" max="4" width="22" hidden="0" customWidth="1"/>
    <x:col min="5" max="5" width="22" hidden="0" customWidth="1"/>
  </x:cols>
  <x:sheetData>
    <x:row r="1" ht="40" customHeight="1">
      <x:c r="A1" s="3" t="str">
        <x:v>PoB PERFORMANCE ADS DECISION TRACKER</x:v>
      </x:c>
      <x:c r="B1" s="3"/>
      <x:c r="C1" s="3"/>
      <x:c r="D1" s="3"/>
      <x:c r="E1" s="3"/>
    </x:row>
    <x:row r="2" ht="24" customHeight="1">
      <x:c r="A2" s="6" t="str">
        <x:v>Dữ liệu → Tín hiệu → Giả thuyết → Quyết định</x:v>
      </x:c>
      <x:c r="B2" s="6"/>
      <x:c r="C2" s="6"/>
      <x:c r="D2" s="6"/>
      <x:c r="E2" s="6"/>
    </x:row>
    <x:row r="4">
      <x:c r="B4" s="9" t="str">
        <x:v>QUY TẮC 3 NGÀY / 7 NGÀY</x:v>
      </x:c>
      <x:c r="C4" s="9"/>
      <x:c r="D4" s="9"/>
      <x:c r="E4" s="9"/>
    </x:row>
    <x:row r="6" ht="30" customHeight="1">
      <x:c r="B6" s="13" t="str">
        <x:v>Mốc</x:v>
      </x:c>
      <x:c r="C6" s="13" t="str">
        <x:v>Đọc gì?</x:v>
      </x:c>
      <x:c r="D6" s="13" t="str">
        <x:v>Được phép làm gì?</x:v>
      </x:c>
    </x:row>
    <x:row r="7">
      <x:c r="B7" s="19" t="str">
        <x:v>Ngày 0</x:v>
      </x:c>
      <x:c r="C7" s="19" t="str">
        <x:v>Tracking, naming, baseline</x:v>
      </x:c>
      <x:c r="D7" s="19" t="str">
        <x:v>Chốt giả thuyết và tiêu chuẩn đọc</x:v>
      </x:c>
    </x:row>
    <x:row r="8">
      <x:c r="B8" s="19" t="str">
        <x:v>Ngày 3</x:v>
      </x:c>
      <x:c r="C8" s="19" t="str">
        <x:v>Phân phối, CTR, CPC, CPL, lỗi kỹ thuật</x:v>
      </x:c>
      <x:c r="D8" s="19" t="str">
        <x:v>Sửa lỗi rõ; chưa scale lớn</x:v>
      </x:c>
    </x:row>
    <x:row r="9">
      <x:c r="B9" s="20" t="str">
        <x:v>Ngày 7</x:v>
      </x:c>
      <x:c r="C9" s="20" t="str">
        <x:v>Median, qualified lead, sales feedback, ROAS</x:v>
      </x:c>
      <x:c r="D9" s="20" t="str">
        <x:v>Giữ · Tăng · Sửa · Giảm · Dừng</x:v>
      </x:c>
    </x:row>
    <x:row r="11">
      <x:c r="B11" s="24" t="str">
        <x:v>Dữ liệu mẫu trong file chỉ để minh hoạ. Xoá hoặc thay bằng export thật trước khi ra quyết định.</x:v>
      </x:c>
      <x:c r="C11" s="24"/>
      <x:c r="D11" s="24"/>
      <x:c r="E11" s="24"/>
    </x:row>
  </x:sheetData>
  <x:mergeCells>
    <x:mergeCell ref="A1:E1"/>
    <x:mergeCell ref="A2:E2"/>
    <x:mergeCell ref="B4:E4"/>
    <x:mergeCell ref="B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</x:cols>
  <x:sheetData>
    <x:row r="1" ht="40" customHeight="1">
      <x:c r="A1" s="3" t="str">
        <x:v>CAMPAIGN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6" t="str">
        <x:v>Paste dữ liệu gốc vào cột A-J · Cột K-Q tự tính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 ht="30" customHeight="1">
      <x:c r="A4" s="13" t="str">
        <x:v>Date</x:v>
      </x:c>
      <x:c r="B4" s="13" t="str">
        <x:v>Platform</x:v>
      </x:c>
      <x:c r="C4" s="13" t="str">
        <x:v>Campaign</x:v>
      </x:c>
      <x:c r="D4" s="13" t="str">
        <x:v>Spend (VND)</x:v>
      </x:c>
      <x:c r="E4" s="13" t="str">
        <x:v>Impressions</x:v>
      </x:c>
      <x:c r="F4" s="13" t="str">
        <x:v>Clicks</x:v>
      </x:c>
      <x:c r="G4" s="13" t="str">
        <x:v>Leads</x:v>
      </x:c>
      <x:c r="H4" s="13" t="str">
        <x:v>Qualified Leads</x:v>
      </x:c>
      <x:c r="I4" s="13" t="str">
        <x:v>Orders</x:v>
      </x:c>
      <x:c r="J4" s="13" t="str">
        <x:v>Revenue (VND)</x:v>
      </x:c>
      <x:c r="K4" s="13" t="str">
        <x:v>CTR</x:v>
      </x:c>
      <x:c r="L4" s="13" t="str">
        <x:v>CPC</x:v>
      </x:c>
      <x:c r="M4" s="13" t="str">
        <x:v>CPL</x:v>
      </x:c>
      <x:c r="N4" s="13" t="str">
        <x:v>Qualified Rate</x:v>
      </x:c>
      <x:c r="O4" s="13" t="str">
        <x:v>CVR</x:v>
      </x:c>
      <x:c r="P4" s="13" t="str">
        <x:v>ROAS</x:v>
      </x:c>
      <x:c r="Q4" s="13" t="str">
        <x:v>Data Quality</x:v>
      </x:c>
    </x:row>
    <x:row r="5">
      <x:c r="A5" s="27" t="n">
        <x:v>46235</x:v>
      </x:c>
      <x:c r="B5" s="19" t="str">
        <x:v>Meta</x:v>
      </x:c>
      <x:c r="C5" s="19" t="str">
        <x:v>SME Audit - Creative A</x:v>
      </x:c>
      <x:c r="D5" s="30" t="n">
        <x:v>1200000</x:v>
      </x:c>
      <x:c r="E5" s="19" t="n">
        <x:v>84000</x:v>
      </x:c>
      <x:c r="F5" s="19" t="n">
        <x:v>1450</x:v>
      </x:c>
      <x:c r="G5" s="19" t="n">
        <x:v>96</x:v>
      </x:c>
      <x:c r="H5" s="19" t="n">
        <x:v>34</x:v>
      </x:c>
      <x:c r="I5" s="19" t="n">
        <x:v>8</x:v>
      </x:c>
      <x:c r="J5" s="30" t="n">
        <x:v>9600000</x:v>
      </x:c>
      <x:c r="K5" s="33" t="n">
        <x:f>IFERROR(F5/E5,0)</x:f>
        <x:v>0.017261904761904763</x:v>
      </x:c>
      <x:c r="L5" s="30" t="n">
        <x:f>IFERROR(D5/F5,0)</x:f>
        <x:v>827.5862068965517</x:v>
      </x:c>
      <x:c r="M5" s="30" t="n">
        <x:f>IFERROR(D5/G5,0)</x:f>
        <x:v>12500</x:v>
      </x:c>
      <x:c r="N5" s="36" t="n">
        <x:f>IFERROR(H5/G5,0)</x:f>
        <x:v>0.3541666666666667</x:v>
      </x:c>
      <x:c r="O5" s="36" t="n">
        <x:f>IFERROR(I5/F5,0)</x:f>
        <x:v>0.005517241379310344</x:v>
      </x:c>
      <x:c r="P5" s="38" t="n">
        <x:f>IFERROR(J5/D5,0)</x:f>
        <x:v>8</x:v>
      </x:c>
      <x:c r="Q5" s="19" t="str">
        <x:f>IF(COUNTA(A5:J5)=0,"",IF(COUNTA(A5:J5)=10,"OK","CHECK"))</x:f>
        <x:v>OK</x:v>
      </x:c>
    </x:row>
    <x:row r="6">
      <x:c r="A6" s="27" t="n">
        <x:v>46236</x:v>
      </x:c>
      <x:c r="B6" s="19" t="str">
        <x:v>Meta</x:v>
      </x:c>
      <x:c r="C6" s="19" t="str">
        <x:v>SME Audit - Creative B</x:v>
      </x:c>
      <x:c r="D6" s="30" t="n">
        <x:v>1350000</x:v>
      </x:c>
      <x:c r="E6" s="19" t="n">
        <x:v>91000</x:v>
      </x:c>
      <x:c r="F6" s="19" t="n">
        <x:v>1180</x:v>
      </x:c>
      <x:c r="G6" s="19" t="n">
        <x:v>73</x:v>
      </x:c>
      <x:c r="H6" s="19" t="n">
        <x:v>31</x:v>
      </x:c>
      <x:c r="I6" s="19" t="n">
        <x:v>7</x:v>
      </x:c>
      <x:c r="J6" s="30" t="n">
        <x:v>8750000</x:v>
      </x:c>
      <x:c r="K6" s="33" t="n">
        <x:f>IFERROR(F6/E6,0)</x:f>
        <x:v>0.012967032967032967</x:v>
      </x:c>
      <x:c r="L6" s="30" t="n">
        <x:f>IFERROR(D6/F6,0)</x:f>
        <x:v>1144.0677966101696</x:v>
      </x:c>
      <x:c r="M6" s="30" t="n">
        <x:f>IFERROR(D6/G6,0)</x:f>
        <x:v>18493.15068493151</x:v>
      </x:c>
      <x:c r="N6" s="36" t="n">
        <x:f>IFERROR(H6/G6,0)</x:f>
        <x:v>0.4246575342465753</x:v>
      </x:c>
      <x:c r="O6" s="36" t="n">
        <x:f>IFERROR(I6/F6,0)</x:f>
        <x:v>0.005932203389830509</x:v>
      </x:c>
      <x:c r="P6" s="38" t="n">
        <x:f>IFERROR(J6/D6,0)</x:f>
        <x:v>6.481481481481482</x:v>
      </x:c>
      <x:c r="Q6" s="19" t="str">
        <x:f>IF(COUNTA(A6:J6)=0,"",IF(COUNTA(A6:J6)=10,"OK","CHECK"))</x:f>
        <x:v>OK</x:v>
      </x:c>
    </x:row>
    <x:row r="7">
      <x:c r="A7" s="27" t="n">
        <x:v>46237</x:v>
      </x:c>
      <x:c r="B7" s="19" t="str">
        <x:v>TikTok</x:v>
      </x:c>
      <x:c r="C7" s="19" t="str">
        <x:v>Live Ops - Hook A</x:v>
      </x:c>
      <x:c r="D7" s="30" t="n">
        <x:v>900000</x:v>
      </x:c>
      <x:c r="E7" s="19" t="n">
        <x:v>120000</x:v>
      </x:c>
      <x:c r="F7" s="19" t="n">
        <x:v>2100</x:v>
      </x:c>
      <x:c r="G7" s="19" t="n">
        <x:v>88</x:v>
      </x:c>
      <x:c r="H7" s="19" t="n">
        <x:v>19</x:v>
      </x:c>
      <x:c r="I7" s="19" t="n">
        <x:v>5</x:v>
      </x:c>
      <x:c r="J7" s="30" t="n">
        <x:v>5900000</x:v>
      </x:c>
      <x:c r="K7" s="33" t="n">
        <x:f>IFERROR(F7/E7,0)</x:f>
        <x:v>0.0175</x:v>
      </x:c>
      <x:c r="L7" s="30" t="n">
        <x:f>IFERROR(D7/F7,0)</x:f>
        <x:v>428.57142857142856</x:v>
      </x:c>
      <x:c r="M7" s="30" t="n">
        <x:f>IFERROR(D7/G7,0)</x:f>
        <x:v>10227.272727272728</x:v>
      </x:c>
      <x:c r="N7" s="36" t="n">
        <x:f>IFERROR(H7/G7,0)</x:f>
        <x:v>0.2159090909090909</x:v>
      </x:c>
      <x:c r="O7" s="36" t="n">
        <x:f>IFERROR(I7/F7,0)</x:f>
        <x:v>0.002380952380952381</x:v>
      </x:c>
      <x:c r="P7" s="38" t="n">
        <x:f>IFERROR(J7/D7,0)</x:f>
        <x:v>6.555555555555555</x:v>
      </x:c>
      <x:c r="Q7" s="19" t="str">
        <x:f>IF(COUNTA(A7:J7)=0,"",IF(COUNTA(A7:J7)=10,"OK","CHECK"))</x:f>
        <x:v>OK</x:v>
      </x:c>
    </x:row>
    <x:row r="8">
      <x:c r="A8" s="27" t="n">
        <x:v>46238</x:v>
      </x:c>
      <x:c r="B8" s="19" t="str">
        <x:v>Google</x:v>
      </x:c>
      <x:c r="C8" s="19" t="str">
        <x:v>Marketing OS Search</x:v>
      </x:c>
      <x:c r="D8" s="30" t="n">
        <x:v>700000</x:v>
      </x:c>
      <x:c r="E8" s="19" t="n">
        <x:v>19000</x:v>
      </x:c>
      <x:c r="F8" s="19" t="n">
        <x:v>620</x:v>
      </x:c>
      <x:c r="G8" s="19" t="n">
        <x:v>41</x:v>
      </x:c>
      <x:c r="H8" s="19" t="n">
        <x:v>22</x:v>
      </x:c>
      <x:c r="I8" s="19" t="n">
        <x:v>6</x:v>
      </x:c>
      <x:c r="J8" s="30" t="n">
        <x:v>7200000</x:v>
      </x:c>
      <x:c r="K8" s="33" t="n">
        <x:f>IFERROR(F8/E8,0)</x:f>
        <x:v>0.03263157894736842</x:v>
      </x:c>
      <x:c r="L8" s="30" t="n">
        <x:f>IFERROR(D8/F8,0)</x:f>
        <x:v>1129.032258064516</x:v>
      </x:c>
      <x:c r="M8" s="30" t="n">
        <x:f>IFERROR(D8/G8,0)</x:f>
        <x:v>17073.170731707316</x:v>
      </x:c>
      <x:c r="N8" s="36" t="n">
        <x:f>IFERROR(H8/G8,0)</x:f>
        <x:v>0.5365853658536586</x:v>
      </x:c>
      <x:c r="O8" s="36" t="n">
        <x:f>IFERROR(I8/F8,0)</x:f>
        <x:v>0.00967741935483871</x:v>
      </x:c>
      <x:c r="P8" s="38" t="n">
        <x:f>IFERROR(J8/D8,0)</x:f>
        <x:v>10.285714285714286</x:v>
      </x:c>
      <x:c r="Q8" s="19" t="str">
        <x:f>IF(COUNTA(A8:J8)=0,"",IF(COUNTA(A8:J8)=10,"OK","CHECK"))</x:f>
        <x:v>OK</x:v>
      </x:c>
    </x:row>
    <x:row r="9">
      <x:c r="A9" s="27" t="n">
        <x:v>46239</x:v>
      </x:c>
      <x:c r="B9" s="19" t="str">
        <x:v>Meta</x:v>
      </x:c>
      <x:c r="C9" s="19" t="str">
        <x:v>Resource Hub Retarget</x:v>
      </x:c>
      <x:c r="D9" s="30" t="n">
        <x:v>650000</x:v>
      </x:c>
      <x:c r="E9" s="19" t="n">
        <x:v>43000</x:v>
      </x:c>
      <x:c r="F9" s="19" t="n">
        <x:v>860</x:v>
      </x:c>
      <x:c r="G9" s="19" t="n">
        <x:v>64</x:v>
      </x:c>
      <x:c r="H9" s="19" t="n">
        <x:v>29</x:v>
      </x:c>
      <x:c r="I9" s="19" t="n">
        <x:v>7</x:v>
      </x:c>
      <x:c r="J9" s="30" t="n">
        <x:v>8050000</x:v>
      </x:c>
      <x:c r="K9" s="33" t="n">
        <x:f>IFERROR(F9/E9,0)</x:f>
        <x:v>0.02</x:v>
      </x:c>
      <x:c r="L9" s="30" t="n">
        <x:f>IFERROR(D9/F9,0)</x:f>
        <x:v>755.8139534883721</x:v>
      </x:c>
      <x:c r="M9" s="30" t="n">
        <x:f>IFERROR(D9/G9,0)</x:f>
        <x:v>10156.25</x:v>
      </x:c>
      <x:c r="N9" s="36" t="n">
        <x:f>IFERROR(H9/G9,0)</x:f>
        <x:v>0.453125</x:v>
      </x:c>
      <x:c r="O9" s="36" t="n">
        <x:f>IFERROR(I9/F9,0)</x:f>
        <x:v>0.00813953488372093</x:v>
      </x:c>
      <x:c r="P9" s="38" t="n">
        <x:f>IFERROR(J9/D9,0)</x:f>
        <x:v>12.384615384615385</x:v>
      </x:c>
      <x:c r="Q9" s="19" t="str">
        <x:f>IF(COUNTA(A9:J9)=0,"",IF(COUNTA(A9:J9)=10,"OK","CHECK"))</x:f>
        <x:v>OK</x:v>
      </x:c>
    </x:row>
    <x:row r="10">
      <x:c r="A10" s="28"/>
      <x:c r="B10" s="25"/>
      <x:c r="C10" s="25"/>
      <x:c r="D10" s="31"/>
      <x:c r="E10" s="25"/>
      <x:c r="F10" s="25"/>
      <x:c r="G10" s="25"/>
      <x:c r="H10" s="25"/>
      <x:c r="I10" s="25"/>
      <x:c r="J10" s="31"/>
      <x:c r="K10" s="33" t="n">
        <x:f>IFERROR(F10/E10,0)</x:f>
        <x:v>0</x:v>
      </x:c>
      <x:c r="L10" s="30" t="n">
        <x:f>IFERROR(D10/F10,0)</x:f>
        <x:v>0</x:v>
      </x:c>
      <x:c r="M10" s="30" t="n">
        <x:f>IFERROR(D10/G10,0)</x:f>
        <x:v>0</x:v>
      </x:c>
      <x:c r="N10" s="36" t="n">
        <x:f>IFERROR(H10/G10,0)</x:f>
        <x:v>0</x:v>
      </x:c>
      <x:c r="O10" s="36" t="n">
        <x:f>IFERROR(I10/F10,0)</x:f>
        <x:v>0</x:v>
      </x:c>
      <x:c r="P10" s="38" t="n">
        <x:f>IFERROR(J10/D10,0)</x:f>
        <x:v>0</x:v>
      </x:c>
      <x:c r="Q10" s="19" t="str">
        <x:f>IF(COUNTA(A10:J10)=0,"",IF(COUNTA(A10:J10)=10,"OK","CHECK"))</x:f>
      </x:c>
    </x:row>
    <x:row r="11">
      <x:c r="A11" s="28"/>
      <x:c r="B11" s="25"/>
      <x:c r="C11" s="25"/>
      <x:c r="D11" s="31"/>
      <x:c r="E11" s="25"/>
      <x:c r="F11" s="25"/>
      <x:c r="G11" s="25"/>
      <x:c r="H11" s="25"/>
      <x:c r="I11" s="25"/>
      <x:c r="J11" s="31"/>
      <x:c r="K11" s="33" t="n">
        <x:f>IFERROR(F11/E11,0)</x:f>
        <x:v>0</x:v>
      </x:c>
      <x:c r="L11" s="30" t="n">
        <x:f>IFERROR(D11/F11,0)</x:f>
        <x:v>0</x:v>
      </x:c>
      <x:c r="M11" s="30" t="n">
        <x:f>IFERROR(D11/G11,0)</x:f>
        <x:v>0</x:v>
      </x:c>
      <x:c r="N11" s="36" t="n">
        <x:f>IFERROR(H11/G11,0)</x:f>
        <x:v>0</x:v>
      </x:c>
      <x:c r="O11" s="36" t="n">
        <x:f>IFERROR(I11/F11,0)</x:f>
        <x:v>0</x:v>
      </x:c>
      <x:c r="P11" s="38" t="n">
        <x:f>IFERROR(J11/D11,0)</x:f>
        <x:v>0</x:v>
      </x:c>
      <x:c r="Q11" s="19" t="str">
        <x:f>IF(COUNTA(A11:J11)=0,"",IF(COUNTA(A11:J11)=10,"OK","CHECK"))</x:f>
      </x:c>
    </x:row>
    <x:row r="12">
      <x:c r="A12" s="28"/>
      <x:c r="B12" s="25"/>
      <x:c r="C12" s="25"/>
      <x:c r="D12" s="31"/>
      <x:c r="E12" s="25"/>
      <x:c r="F12" s="25"/>
      <x:c r="G12" s="25"/>
      <x:c r="H12" s="25"/>
      <x:c r="I12" s="25"/>
      <x:c r="J12" s="31"/>
      <x:c r="K12" s="33" t="n">
        <x:f>IFERROR(F12/E12,0)</x:f>
        <x:v>0</x:v>
      </x:c>
      <x:c r="L12" s="30" t="n">
        <x:f>IFERROR(D12/F12,0)</x:f>
        <x:v>0</x:v>
      </x:c>
      <x:c r="M12" s="30" t="n">
        <x:f>IFERROR(D12/G12,0)</x:f>
        <x:v>0</x:v>
      </x:c>
      <x:c r="N12" s="36" t="n">
        <x:f>IFERROR(H12/G12,0)</x:f>
        <x:v>0</x:v>
      </x:c>
      <x:c r="O12" s="36" t="n">
        <x:f>IFERROR(I12/F12,0)</x:f>
        <x:v>0</x:v>
      </x:c>
      <x:c r="P12" s="38" t="n">
        <x:f>IFERROR(J12/D12,0)</x:f>
        <x:v>0</x:v>
      </x:c>
      <x:c r="Q12" s="19" t="str">
        <x:f>IF(COUNTA(A12:J12)=0,"",IF(COUNTA(A12:J12)=10,"OK","CHECK"))</x:f>
      </x:c>
    </x:row>
    <x:row r="13">
      <x:c r="A13" s="28"/>
      <x:c r="B13" s="25"/>
      <x:c r="C13" s="25"/>
      <x:c r="D13" s="31"/>
      <x:c r="E13" s="25"/>
      <x:c r="F13" s="25"/>
      <x:c r="G13" s="25"/>
      <x:c r="H13" s="25"/>
      <x:c r="I13" s="25"/>
      <x:c r="J13" s="31"/>
      <x:c r="K13" s="33" t="n">
        <x:f>IFERROR(F13/E13,0)</x:f>
        <x:v>0</x:v>
      </x:c>
      <x:c r="L13" s="30" t="n">
        <x:f>IFERROR(D13/F13,0)</x:f>
        <x:v>0</x:v>
      </x:c>
      <x:c r="M13" s="30" t="n">
        <x:f>IFERROR(D13/G13,0)</x:f>
        <x:v>0</x:v>
      </x:c>
      <x:c r="N13" s="36" t="n">
        <x:f>IFERROR(H13/G13,0)</x:f>
        <x:v>0</x:v>
      </x:c>
      <x:c r="O13" s="36" t="n">
        <x:f>IFERROR(I13/F13,0)</x:f>
        <x:v>0</x:v>
      </x:c>
      <x:c r="P13" s="38" t="n">
        <x:f>IFERROR(J13/D13,0)</x:f>
        <x:v>0</x:v>
      </x:c>
      <x:c r="Q13" s="19" t="str">
        <x:f>IF(COUNTA(A13:J13)=0,"",IF(COUNTA(A13:J13)=10,"OK","CHECK"))</x:f>
      </x:c>
    </x:row>
    <x:row r="14">
      <x:c r="A14" s="28"/>
      <x:c r="B14" s="25"/>
      <x:c r="C14" s="25"/>
      <x:c r="D14" s="31"/>
      <x:c r="E14" s="25"/>
      <x:c r="F14" s="25"/>
      <x:c r="G14" s="25"/>
      <x:c r="H14" s="25"/>
      <x:c r="I14" s="25"/>
      <x:c r="J14" s="31"/>
      <x:c r="K14" s="33" t="n">
        <x:f>IFERROR(F14/E14,0)</x:f>
        <x:v>0</x:v>
      </x:c>
      <x:c r="L14" s="30" t="n">
        <x:f>IFERROR(D14/F14,0)</x:f>
        <x:v>0</x:v>
      </x:c>
      <x:c r="M14" s="30" t="n">
        <x:f>IFERROR(D14/G14,0)</x:f>
        <x:v>0</x:v>
      </x:c>
      <x:c r="N14" s="36" t="n">
        <x:f>IFERROR(H14/G14,0)</x:f>
        <x:v>0</x:v>
      </x:c>
      <x:c r="O14" s="36" t="n">
        <x:f>IFERROR(I14/F14,0)</x:f>
        <x:v>0</x:v>
      </x:c>
      <x:c r="P14" s="38" t="n">
        <x:f>IFERROR(J14/D14,0)</x:f>
        <x:v>0</x:v>
      </x:c>
      <x:c r="Q14" s="19" t="str">
        <x:f>IF(COUNTA(A14:J14)=0,"",IF(COUNTA(A14:J14)=10,"OK","CHECK"))</x:f>
      </x:c>
    </x:row>
    <x:row r="15">
      <x:c r="A15" s="28"/>
      <x:c r="B15" s="25"/>
      <x:c r="C15" s="25"/>
      <x:c r="D15" s="31"/>
      <x:c r="E15" s="25"/>
      <x:c r="F15" s="25"/>
      <x:c r="G15" s="25"/>
      <x:c r="H15" s="25"/>
      <x:c r="I15" s="25"/>
      <x:c r="J15" s="31"/>
      <x:c r="K15" s="33" t="n">
        <x:f>IFERROR(F15/E15,0)</x:f>
        <x:v>0</x:v>
      </x:c>
      <x:c r="L15" s="30" t="n">
        <x:f>IFERROR(D15/F15,0)</x:f>
        <x:v>0</x:v>
      </x:c>
      <x:c r="M15" s="30" t="n">
        <x:f>IFERROR(D15/G15,0)</x:f>
        <x:v>0</x:v>
      </x:c>
      <x:c r="N15" s="36" t="n">
        <x:f>IFERROR(H15/G15,0)</x:f>
        <x:v>0</x:v>
      </x:c>
      <x:c r="O15" s="36" t="n">
        <x:f>IFERROR(I15/F15,0)</x:f>
        <x:v>0</x:v>
      </x:c>
      <x:c r="P15" s="38" t="n">
        <x:f>IFERROR(J15/D15,0)</x:f>
        <x:v>0</x:v>
      </x:c>
      <x:c r="Q15" s="19" t="str">
        <x:f>IF(COUNTA(A15:J15)=0,"",IF(COUNTA(A15:J15)=10,"OK","CHECK"))</x:f>
      </x:c>
    </x:row>
    <x:row r="16">
      <x:c r="A16" s="28"/>
      <x:c r="B16" s="25"/>
      <x:c r="C16" s="25"/>
      <x:c r="D16" s="31"/>
      <x:c r="E16" s="25"/>
      <x:c r="F16" s="25"/>
      <x:c r="G16" s="25"/>
      <x:c r="H16" s="25"/>
      <x:c r="I16" s="25"/>
      <x:c r="J16" s="31"/>
      <x:c r="K16" s="33" t="n">
        <x:f>IFERROR(F16/E16,0)</x:f>
        <x:v>0</x:v>
      </x:c>
      <x:c r="L16" s="30" t="n">
        <x:f>IFERROR(D16/F16,0)</x:f>
        <x:v>0</x:v>
      </x:c>
      <x:c r="M16" s="30" t="n">
        <x:f>IFERROR(D16/G16,0)</x:f>
        <x:v>0</x:v>
      </x:c>
      <x:c r="N16" s="36" t="n">
        <x:f>IFERROR(H16/G16,0)</x:f>
        <x:v>0</x:v>
      </x:c>
      <x:c r="O16" s="36" t="n">
        <x:f>IFERROR(I16/F16,0)</x:f>
        <x:v>0</x:v>
      </x:c>
      <x:c r="P16" s="38" t="n">
        <x:f>IFERROR(J16/D16,0)</x:f>
        <x:v>0</x:v>
      </x:c>
      <x:c r="Q16" s="19" t="str">
        <x:f>IF(COUNTA(A16:J16)=0,"",IF(COUNTA(A16:J16)=10,"OK","CHECK"))</x:f>
      </x:c>
    </x:row>
    <x:row r="17">
      <x:c r="A17" s="28"/>
      <x:c r="B17" s="25"/>
      <x:c r="C17" s="25"/>
      <x:c r="D17" s="31"/>
      <x:c r="E17" s="25"/>
      <x:c r="F17" s="25"/>
      <x:c r="G17" s="25"/>
      <x:c r="H17" s="25"/>
      <x:c r="I17" s="25"/>
      <x:c r="J17" s="31"/>
      <x:c r="K17" s="33" t="n">
        <x:f>IFERROR(F17/E17,0)</x:f>
        <x:v>0</x:v>
      </x:c>
      <x:c r="L17" s="30" t="n">
        <x:f>IFERROR(D17/F17,0)</x:f>
        <x:v>0</x:v>
      </x:c>
      <x:c r="M17" s="30" t="n">
        <x:f>IFERROR(D17/G17,0)</x:f>
        <x:v>0</x:v>
      </x:c>
      <x:c r="N17" s="36" t="n">
        <x:f>IFERROR(H17/G17,0)</x:f>
        <x:v>0</x:v>
      </x:c>
      <x:c r="O17" s="36" t="n">
        <x:f>IFERROR(I17/F17,0)</x:f>
        <x:v>0</x:v>
      </x:c>
      <x:c r="P17" s="38" t="n">
        <x:f>IFERROR(J17/D17,0)</x:f>
        <x:v>0</x:v>
      </x:c>
      <x:c r="Q17" s="19" t="str">
        <x:f>IF(COUNTA(A17:J17)=0,"",IF(COUNTA(A17:J17)=10,"OK","CHECK"))</x:f>
      </x:c>
    </x:row>
    <x:row r="18">
      <x:c r="A18" s="28"/>
      <x:c r="B18" s="25"/>
      <x:c r="C18" s="25"/>
      <x:c r="D18" s="31"/>
      <x:c r="E18" s="25"/>
      <x:c r="F18" s="25"/>
      <x:c r="G18" s="25"/>
      <x:c r="H18" s="25"/>
      <x:c r="I18" s="25"/>
      <x:c r="J18" s="31"/>
      <x:c r="K18" s="33" t="n">
        <x:f>IFERROR(F18/E18,0)</x:f>
        <x:v>0</x:v>
      </x:c>
      <x:c r="L18" s="30" t="n">
        <x:f>IFERROR(D18/F18,0)</x:f>
        <x:v>0</x:v>
      </x:c>
      <x:c r="M18" s="30" t="n">
        <x:f>IFERROR(D18/G18,0)</x:f>
        <x:v>0</x:v>
      </x:c>
      <x:c r="N18" s="36" t="n">
        <x:f>IFERROR(H18/G18,0)</x:f>
        <x:v>0</x:v>
      </x:c>
      <x:c r="O18" s="36" t="n">
        <x:f>IFERROR(I18/F18,0)</x:f>
        <x:v>0</x:v>
      </x:c>
      <x:c r="P18" s="38" t="n">
        <x:f>IFERROR(J18/D18,0)</x:f>
        <x:v>0</x:v>
      </x:c>
      <x:c r="Q18" s="19" t="str">
        <x:f>IF(COUNTA(A18:J18)=0,"",IF(COUNTA(A18:J18)=10,"OK","CHECK"))</x:f>
      </x:c>
    </x:row>
    <x:row r="19">
      <x:c r="A19" s="28"/>
      <x:c r="B19" s="25"/>
      <x:c r="C19" s="25"/>
      <x:c r="D19" s="31"/>
      <x:c r="E19" s="25"/>
      <x:c r="F19" s="25"/>
      <x:c r="G19" s="25"/>
      <x:c r="H19" s="25"/>
      <x:c r="I19" s="25"/>
      <x:c r="J19" s="31"/>
      <x:c r="K19" s="33" t="n">
        <x:f>IFERROR(F19/E19,0)</x:f>
        <x:v>0</x:v>
      </x:c>
      <x:c r="L19" s="30" t="n">
        <x:f>IFERROR(D19/F19,0)</x:f>
        <x:v>0</x:v>
      </x:c>
      <x:c r="M19" s="30" t="n">
        <x:f>IFERROR(D19/G19,0)</x:f>
        <x:v>0</x:v>
      </x:c>
      <x:c r="N19" s="36" t="n">
        <x:f>IFERROR(H19/G19,0)</x:f>
        <x:v>0</x:v>
      </x:c>
      <x:c r="O19" s="36" t="n">
        <x:f>IFERROR(I19/F19,0)</x:f>
        <x:v>0</x:v>
      </x:c>
      <x:c r="P19" s="38" t="n">
        <x:f>IFERROR(J19/D19,0)</x:f>
        <x:v>0</x:v>
      </x:c>
      <x:c r="Q19" s="19" t="str">
        <x:f>IF(COUNTA(A19:J19)=0,"",IF(COUNTA(A19:J19)=10,"OK","CHECK"))</x:f>
      </x:c>
    </x:row>
    <x:row r="20">
      <x:c r="A20" s="28"/>
      <x:c r="B20" s="25"/>
      <x:c r="C20" s="25"/>
      <x:c r="D20" s="31"/>
      <x:c r="E20" s="25"/>
      <x:c r="F20" s="25"/>
      <x:c r="G20" s="25"/>
      <x:c r="H20" s="25"/>
      <x:c r="I20" s="25"/>
      <x:c r="J20" s="31"/>
      <x:c r="K20" s="33" t="n">
        <x:f>IFERROR(F20/E20,0)</x:f>
        <x:v>0</x:v>
      </x:c>
      <x:c r="L20" s="30" t="n">
        <x:f>IFERROR(D20/F20,0)</x:f>
        <x:v>0</x:v>
      </x:c>
      <x:c r="M20" s="30" t="n">
        <x:f>IFERROR(D20/G20,0)</x:f>
        <x:v>0</x:v>
      </x:c>
      <x:c r="N20" s="36" t="n">
        <x:f>IFERROR(H20/G20,0)</x:f>
        <x:v>0</x:v>
      </x:c>
      <x:c r="O20" s="36" t="n">
        <x:f>IFERROR(I20/F20,0)</x:f>
        <x:v>0</x:v>
      </x:c>
      <x:c r="P20" s="38" t="n">
        <x:f>IFERROR(J20/D20,0)</x:f>
        <x:v>0</x:v>
      </x:c>
      <x:c r="Q20" s="19" t="str">
        <x:f>IF(COUNTA(A20:J20)=0,"",IF(COUNTA(A20:J20)=10,"OK","CHECK"))</x:f>
      </x:c>
    </x:row>
    <x:row r="21">
      <x:c r="A21" s="28"/>
      <x:c r="B21" s="25"/>
      <x:c r="C21" s="25"/>
      <x:c r="D21" s="31"/>
      <x:c r="E21" s="25"/>
      <x:c r="F21" s="25"/>
      <x:c r="G21" s="25"/>
      <x:c r="H21" s="25"/>
      <x:c r="I21" s="25"/>
      <x:c r="J21" s="31"/>
      <x:c r="K21" s="33" t="n">
        <x:f>IFERROR(F21/E21,0)</x:f>
        <x:v>0</x:v>
      </x:c>
      <x:c r="L21" s="30" t="n">
        <x:f>IFERROR(D21/F21,0)</x:f>
        <x:v>0</x:v>
      </x:c>
      <x:c r="M21" s="30" t="n">
        <x:f>IFERROR(D21/G21,0)</x:f>
        <x:v>0</x:v>
      </x:c>
      <x:c r="N21" s="36" t="n">
        <x:f>IFERROR(H21/G21,0)</x:f>
        <x:v>0</x:v>
      </x:c>
      <x:c r="O21" s="36" t="n">
        <x:f>IFERROR(I21/F21,0)</x:f>
        <x:v>0</x:v>
      </x:c>
      <x:c r="P21" s="38" t="n">
        <x:f>IFERROR(J21/D21,0)</x:f>
        <x:v>0</x:v>
      </x:c>
      <x:c r="Q21" s="19" t="str">
        <x:f>IF(COUNTA(A21:J21)=0,"",IF(COUNTA(A21:J21)=10,"OK","CHECK"))</x:f>
      </x:c>
    </x:row>
    <x:row r="22">
      <x:c r="A22" s="28"/>
      <x:c r="B22" s="25"/>
      <x:c r="C22" s="25"/>
      <x:c r="D22" s="31"/>
      <x:c r="E22" s="25"/>
      <x:c r="F22" s="25"/>
      <x:c r="G22" s="25"/>
      <x:c r="H22" s="25"/>
      <x:c r="I22" s="25"/>
      <x:c r="J22" s="31"/>
      <x:c r="K22" s="33" t="n">
        <x:f>IFERROR(F22/E22,0)</x:f>
        <x:v>0</x:v>
      </x:c>
      <x:c r="L22" s="30" t="n">
        <x:f>IFERROR(D22/F22,0)</x:f>
        <x:v>0</x:v>
      </x:c>
      <x:c r="M22" s="30" t="n">
        <x:f>IFERROR(D22/G22,0)</x:f>
        <x:v>0</x:v>
      </x:c>
      <x:c r="N22" s="36" t="n">
        <x:f>IFERROR(H22/G22,0)</x:f>
        <x:v>0</x:v>
      </x:c>
      <x:c r="O22" s="36" t="n">
        <x:f>IFERROR(I22/F22,0)</x:f>
        <x:v>0</x:v>
      </x:c>
      <x:c r="P22" s="38" t="n">
        <x:f>IFERROR(J22/D22,0)</x:f>
        <x:v>0</x:v>
      </x:c>
      <x:c r="Q22" s="19" t="str">
        <x:f>IF(COUNTA(A22:J22)=0,"",IF(COUNTA(A22:J22)=10,"OK","CHECK"))</x:f>
      </x:c>
    </x:row>
    <x:row r="23">
      <x:c r="A23" s="28"/>
      <x:c r="B23" s="25"/>
      <x:c r="C23" s="25"/>
      <x:c r="D23" s="31"/>
      <x:c r="E23" s="25"/>
      <x:c r="F23" s="25"/>
      <x:c r="G23" s="25"/>
      <x:c r="H23" s="25"/>
      <x:c r="I23" s="25"/>
      <x:c r="J23" s="31"/>
      <x:c r="K23" s="33" t="n">
        <x:f>IFERROR(F23/E23,0)</x:f>
        <x:v>0</x:v>
      </x:c>
      <x:c r="L23" s="30" t="n">
        <x:f>IFERROR(D23/F23,0)</x:f>
        <x:v>0</x:v>
      </x:c>
      <x:c r="M23" s="30" t="n">
        <x:f>IFERROR(D23/G23,0)</x:f>
        <x:v>0</x:v>
      </x:c>
      <x:c r="N23" s="36" t="n">
        <x:f>IFERROR(H23/G23,0)</x:f>
        <x:v>0</x:v>
      </x:c>
      <x:c r="O23" s="36" t="n">
        <x:f>IFERROR(I23/F23,0)</x:f>
        <x:v>0</x:v>
      </x:c>
      <x:c r="P23" s="38" t="n">
        <x:f>IFERROR(J23/D23,0)</x:f>
        <x:v>0</x:v>
      </x:c>
      <x:c r="Q23" s="19" t="str">
        <x:f>IF(COUNTA(A23:J23)=0,"",IF(COUNTA(A23:J23)=10,"OK","CHECK"))</x:f>
      </x:c>
    </x:row>
    <x:row r="24">
      <x:c r="A24" s="28"/>
      <x:c r="B24" s="25"/>
      <x:c r="C24" s="25"/>
      <x:c r="D24" s="31"/>
      <x:c r="E24" s="25"/>
      <x:c r="F24" s="25"/>
      <x:c r="G24" s="25"/>
      <x:c r="H24" s="25"/>
      <x:c r="I24" s="25"/>
      <x:c r="J24" s="31"/>
      <x:c r="K24" s="33" t="n">
        <x:f>IFERROR(F24/E24,0)</x:f>
        <x:v>0</x:v>
      </x:c>
      <x:c r="L24" s="30" t="n">
        <x:f>IFERROR(D24/F24,0)</x:f>
        <x:v>0</x:v>
      </x:c>
      <x:c r="M24" s="30" t="n">
        <x:f>IFERROR(D24/G24,0)</x:f>
        <x:v>0</x:v>
      </x:c>
      <x:c r="N24" s="36" t="n">
        <x:f>IFERROR(H24/G24,0)</x:f>
        <x:v>0</x:v>
      </x:c>
      <x:c r="O24" s="36" t="n">
        <x:f>IFERROR(I24/F24,0)</x:f>
        <x:v>0</x:v>
      </x:c>
      <x:c r="P24" s="38" t="n">
        <x:f>IFERROR(J24/D24,0)</x:f>
        <x:v>0</x:v>
      </x:c>
      <x:c r="Q24" s="19" t="str">
        <x:f>IF(COUNTA(A24:J24)=0,"",IF(COUNTA(A24:J24)=10,"OK","CHECK"))</x:f>
      </x:c>
    </x:row>
    <x:row r="25">
      <x:c r="A25" s="28"/>
      <x:c r="B25" s="25"/>
      <x:c r="C25" s="25"/>
      <x:c r="D25" s="31"/>
      <x:c r="E25" s="25"/>
      <x:c r="F25" s="25"/>
      <x:c r="G25" s="25"/>
      <x:c r="H25" s="25"/>
      <x:c r="I25" s="25"/>
      <x:c r="J25" s="31"/>
      <x:c r="K25" s="33" t="n">
        <x:f>IFERROR(F25/E25,0)</x:f>
        <x:v>0</x:v>
      </x:c>
      <x:c r="L25" s="30" t="n">
        <x:f>IFERROR(D25/F25,0)</x:f>
        <x:v>0</x:v>
      </x:c>
      <x:c r="M25" s="30" t="n">
        <x:f>IFERROR(D25/G25,0)</x:f>
        <x:v>0</x:v>
      </x:c>
      <x:c r="N25" s="36" t="n">
        <x:f>IFERROR(H25/G25,0)</x:f>
        <x:v>0</x:v>
      </x:c>
      <x:c r="O25" s="36" t="n">
        <x:f>IFERROR(I25/F25,0)</x:f>
        <x:v>0</x:v>
      </x:c>
      <x:c r="P25" s="38" t="n">
        <x:f>IFERROR(J25/D25,0)</x:f>
        <x:v>0</x:v>
      </x:c>
      <x:c r="Q25" s="19" t="str">
        <x:f>IF(COUNTA(A25:J25)=0,"",IF(COUNTA(A25:J25)=10,"OK","CHECK"))</x:f>
      </x:c>
    </x:row>
    <x:row r="26">
      <x:c r="A26" s="28"/>
      <x:c r="B26" s="25"/>
      <x:c r="C26" s="25"/>
      <x:c r="D26" s="31"/>
      <x:c r="E26" s="25"/>
      <x:c r="F26" s="25"/>
      <x:c r="G26" s="25"/>
      <x:c r="H26" s="25"/>
      <x:c r="I26" s="25"/>
      <x:c r="J26" s="31"/>
      <x:c r="K26" s="33" t="n">
        <x:f>IFERROR(F26/E26,0)</x:f>
        <x:v>0</x:v>
      </x:c>
      <x:c r="L26" s="30" t="n">
        <x:f>IFERROR(D26/F26,0)</x:f>
        <x:v>0</x:v>
      </x:c>
      <x:c r="M26" s="30" t="n">
        <x:f>IFERROR(D26/G26,0)</x:f>
        <x:v>0</x:v>
      </x:c>
      <x:c r="N26" s="36" t="n">
        <x:f>IFERROR(H26/G26,0)</x:f>
        <x:v>0</x:v>
      </x:c>
      <x:c r="O26" s="36" t="n">
        <x:f>IFERROR(I26/F26,0)</x:f>
        <x:v>0</x:v>
      </x:c>
      <x:c r="P26" s="38" t="n">
        <x:f>IFERROR(J26/D26,0)</x:f>
        <x:v>0</x:v>
      </x:c>
      <x:c r="Q26" s="19" t="str">
        <x:f>IF(COUNTA(A26:J26)=0,"",IF(COUNTA(A26:J26)=10,"OK","CHECK"))</x:f>
      </x:c>
    </x:row>
    <x:row r="27">
      <x:c r="A27" s="28"/>
      <x:c r="B27" s="25"/>
      <x:c r="C27" s="25"/>
      <x:c r="D27" s="31"/>
      <x:c r="E27" s="25"/>
      <x:c r="F27" s="25"/>
      <x:c r="G27" s="25"/>
      <x:c r="H27" s="25"/>
      <x:c r="I27" s="25"/>
      <x:c r="J27" s="31"/>
      <x:c r="K27" s="33" t="n">
        <x:f>IFERROR(F27/E27,0)</x:f>
        <x:v>0</x:v>
      </x:c>
      <x:c r="L27" s="30" t="n">
        <x:f>IFERROR(D27/F27,0)</x:f>
        <x:v>0</x:v>
      </x:c>
      <x:c r="M27" s="30" t="n">
        <x:f>IFERROR(D27/G27,0)</x:f>
        <x:v>0</x:v>
      </x:c>
      <x:c r="N27" s="36" t="n">
        <x:f>IFERROR(H27/G27,0)</x:f>
        <x:v>0</x:v>
      </x:c>
      <x:c r="O27" s="36" t="n">
        <x:f>IFERROR(I27/F27,0)</x:f>
        <x:v>0</x:v>
      </x:c>
      <x:c r="P27" s="38" t="n">
        <x:f>IFERROR(J27/D27,0)</x:f>
        <x:v>0</x:v>
      </x:c>
      <x:c r="Q27" s="19" t="str">
        <x:f>IF(COUNTA(A27:J27)=0,"",IF(COUNTA(A27:J27)=10,"OK","CHECK"))</x:f>
      </x:c>
    </x:row>
    <x:row r="28">
      <x:c r="A28" s="28"/>
      <x:c r="B28" s="25"/>
      <x:c r="C28" s="25"/>
      <x:c r="D28" s="31"/>
      <x:c r="E28" s="25"/>
      <x:c r="F28" s="25"/>
      <x:c r="G28" s="25"/>
      <x:c r="H28" s="25"/>
      <x:c r="I28" s="25"/>
      <x:c r="J28" s="31"/>
      <x:c r="K28" s="33" t="n">
        <x:f>IFERROR(F28/E28,0)</x:f>
        <x:v>0</x:v>
      </x:c>
      <x:c r="L28" s="30" t="n">
        <x:f>IFERROR(D28/F28,0)</x:f>
        <x:v>0</x:v>
      </x:c>
      <x:c r="M28" s="30" t="n">
        <x:f>IFERROR(D28/G28,0)</x:f>
        <x:v>0</x:v>
      </x:c>
      <x:c r="N28" s="36" t="n">
        <x:f>IFERROR(H28/G28,0)</x:f>
        <x:v>0</x:v>
      </x:c>
      <x:c r="O28" s="36" t="n">
        <x:f>IFERROR(I28/F28,0)</x:f>
        <x:v>0</x:v>
      </x:c>
      <x:c r="P28" s="38" t="n">
        <x:f>IFERROR(J28/D28,0)</x:f>
        <x:v>0</x:v>
      </x:c>
      <x:c r="Q28" s="19" t="str">
        <x:f>IF(COUNTA(A28:J28)=0,"",IF(COUNTA(A28:J28)=10,"OK","CHECK"))</x:f>
      </x:c>
    </x:row>
    <x:row r="29">
      <x:c r="A29" s="28"/>
      <x:c r="B29" s="25"/>
      <x:c r="C29" s="25"/>
      <x:c r="D29" s="31"/>
      <x:c r="E29" s="25"/>
      <x:c r="F29" s="25"/>
      <x:c r="G29" s="25"/>
      <x:c r="H29" s="25"/>
      <x:c r="I29" s="25"/>
      <x:c r="J29" s="31"/>
      <x:c r="K29" s="33" t="n">
        <x:f>IFERROR(F29/E29,0)</x:f>
        <x:v>0</x:v>
      </x:c>
      <x:c r="L29" s="30" t="n">
        <x:f>IFERROR(D29/F29,0)</x:f>
        <x:v>0</x:v>
      </x:c>
      <x:c r="M29" s="30" t="n">
        <x:f>IFERROR(D29/G29,0)</x:f>
        <x:v>0</x:v>
      </x:c>
      <x:c r="N29" s="36" t="n">
        <x:f>IFERROR(H29/G29,0)</x:f>
        <x:v>0</x:v>
      </x:c>
      <x:c r="O29" s="36" t="n">
        <x:f>IFERROR(I29/F29,0)</x:f>
        <x:v>0</x:v>
      </x:c>
      <x:c r="P29" s="38" t="n">
        <x:f>IFERROR(J29/D29,0)</x:f>
        <x:v>0</x:v>
      </x:c>
      <x:c r="Q29" s="19" t="str">
        <x:f>IF(COUNTA(A29:J29)=0,"",IF(COUNTA(A29:J29)=10,"OK","CHECK"))</x:f>
      </x:c>
    </x:row>
    <x:row r="30">
      <x:c r="A30" s="28"/>
      <x:c r="B30" s="25"/>
      <x:c r="C30" s="25"/>
      <x:c r="D30" s="31"/>
      <x:c r="E30" s="25"/>
      <x:c r="F30" s="25"/>
      <x:c r="G30" s="25"/>
      <x:c r="H30" s="25"/>
      <x:c r="I30" s="25"/>
      <x:c r="J30" s="31"/>
      <x:c r="K30" s="33" t="n">
        <x:f>IFERROR(F30/E30,0)</x:f>
        <x:v>0</x:v>
      </x:c>
      <x:c r="L30" s="30" t="n">
        <x:f>IFERROR(D30/F30,0)</x:f>
        <x:v>0</x:v>
      </x:c>
      <x:c r="M30" s="30" t="n">
        <x:f>IFERROR(D30/G30,0)</x:f>
        <x:v>0</x:v>
      </x:c>
      <x:c r="N30" s="36" t="n">
        <x:f>IFERROR(H30/G30,0)</x:f>
        <x:v>0</x:v>
      </x:c>
      <x:c r="O30" s="36" t="n">
        <x:f>IFERROR(I30/F30,0)</x:f>
        <x:v>0</x:v>
      </x:c>
      <x:c r="P30" s="38" t="n">
        <x:f>IFERROR(J30/D30,0)</x:f>
        <x:v>0</x:v>
      </x:c>
      <x:c r="Q30" s="19" t="str">
        <x:f>IF(COUNTA(A30:J30)=0,"",IF(COUNTA(A30:J30)=10,"OK","CHECK"))</x:f>
      </x:c>
    </x:row>
    <x:row r="31">
      <x:c r="A31" s="28"/>
      <x:c r="B31" s="25"/>
      <x:c r="C31" s="25"/>
      <x:c r="D31" s="31"/>
      <x:c r="E31" s="25"/>
      <x:c r="F31" s="25"/>
      <x:c r="G31" s="25"/>
      <x:c r="H31" s="25"/>
      <x:c r="I31" s="25"/>
      <x:c r="J31" s="31"/>
      <x:c r="K31" s="33" t="n">
        <x:f>IFERROR(F31/E31,0)</x:f>
        <x:v>0</x:v>
      </x:c>
      <x:c r="L31" s="30" t="n">
        <x:f>IFERROR(D31/F31,0)</x:f>
        <x:v>0</x:v>
      </x:c>
      <x:c r="M31" s="30" t="n">
        <x:f>IFERROR(D31/G31,0)</x:f>
        <x:v>0</x:v>
      </x:c>
      <x:c r="N31" s="36" t="n">
        <x:f>IFERROR(H31/G31,0)</x:f>
        <x:v>0</x:v>
      </x:c>
      <x:c r="O31" s="36" t="n">
        <x:f>IFERROR(I31/F31,0)</x:f>
        <x:v>0</x:v>
      </x:c>
      <x:c r="P31" s="38" t="n">
        <x:f>IFERROR(J31/D31,0)</x:f>
        <x:v>0</x:v>
      </x:c>
      <x:c r="Q31" s="19" t="str">
        <x:f>IF(COUNTA(A31:J31)=0,"",IF(COUNTA(A31:J31)=10,"OK","CHECK"))</x:f>
      </x:c>
    </x:row>
    <x:row r="32">
      <x:c r="A32" s="28"/>
      <x:c r="B32" s="25"/>
      <x:c r="C32" s="25"/>
      <x:c r="D32" s="31"/>
      <x:c r="E32" s="25"/>
      <x:c r="F32" s="25"/>
      <x:c r="G32" s="25"/>
      <x:c r="H32" s="25"/>
      <x:c r="I32" s="25"/>
      <x:c r="J32" s="31"/>
      <x:c r="K32" s="33" t="n">
        <x:f>IFERROR(F32/E32,0)</x:f>
        <x:v>0</x:v>
      </x:c>
      <x:c r="L32" s="30" t="n">
        <x:f>IFERROR(D32/F32,0)</x:f>
        <x:v>0</x:v>
      </x:c>
      <x:c r="M32" s="30" t="n">
        <x:f>IFERROR(D32/G32,0)</x:f>
        <x:v>0</x:v>
      </x:c>
      <x:c r="N32" s="36" t="n">
        <x:f>IFERROR(H32/G32,0)</x:f>
        <x:v>0</x:v>
      </x:c>
      <x:c r="O32" s="36" t="n">
        <x:f>IFERROR(I32/F32,0)</x:f>
        <x:v>0</x:v>
      </x:c>
      <x:c r="P32" s="38" t="n">
        <x:f>IFERROR(J32/D32,0)</x:f>
        <x:v>0</x:v>
      </x:c>
      <x:c r="Q32" s="19" t="str">
        <x:f>IF(COUNTA(A32:J32)=0,"",IF(COUNTA(A32:J32)=10,"OK","CHECK"))</x:f>
      </x:c>
    </x:row>
    <x:row r="33">
      <x:c r="A33" s="28"/>
      <x:c r="B33" s="25"/>
      <x:c r="C33" s="25"/>
      <x:c r="D33" s="31"/>
      <x:c r="E33" s="25"/>
      <x:c r="F33" s="25"/>
      <x:c r="G33" s="25"/>
      <x:c r="H33" s="25"/>
      <x:c r="I33" s="25"/>
      <x:c r="J33" s="31"/>
      <x:c r="K33" s="33" t="n">
        <x:f>IFERROR(F33/E33,0)</x:f>
        <x:v>0</x:v>
      </x:c>
      <x:c r="L33" s="30" t="n">
        <x:f>IFERROR(D33/F33,0)</x:f>
        <x:v>0</x:v>
      </x:c>
      <x:c r="M33" s="30" t="n">
        <x:f>IFERROR(D33/G33,0)</x:f>
        <x:v>0</x:v>
      </x:c>
      <x:c r="N33" s="36" t="n">
        <x:f>IFERROR(H33/G33,0)</x:f>
        <x:v>0</x:v>
      </x:c>
      <x:c r="O33" s="36" t="n">
        <x:f>IFERROR(I33/F33,0)</x:f>
        <x:v>0</x:v>
      </x:c>
      <x:c r="P33" s="38" t="n">
        <x:f>IFERROR(J33/D33,0)</x:f>
        <x:v>0</x:v>
      </x:c>
      <x:c r="Q33" s="19" t="str">
        <x:f>IF(COUNTA(A33:J33)=0,"",IF(COUNTA(A33:J33)=10,"OK","CHECK"))</x:f>
      </x:c>
    </x:row>
    <x:row r="34">
      <x:c r="A34" s="29"/>
      <x:c r="B34" s="26"/>
      <x:c r="C34" s="26"/>
      <x:c r="D34" s="32"/>
      <x:c r="E34" s="26"/>
      <x:c r="F34" s="26"/>
      <x:c r="G34" s="26"/>
      <x:c r="H34" s="26"/>
      <x:c r="I34" s="26"/>
      <x:c r="J34" s="32"/>
      <x:c r="K34" s="34" t="n">
        <x:f>IFERROR(F34/E34,0)</x:f>
        <x:v>0</x:v>
      </x:c>
      <x:c r="L34" s="35" t="n">
        <x:f>IFERROR(D34/F34,0)</x:f>
        <x:v>0</x:v>
      </x:c>
      <x:c r="M34" s="35" t="n">
        <x:f>IFERROR(D34/G34,0)</x:f>
        <x:v>0</x:v>
      </x:c>
      <x:c r="N34" s="37" t="n">
        <x:f>IFERROR(H34/G34,0)</x:f>
        <x:v>0</x:v>
      </x:c>
      <x:c r="O34" s="37" t="n">
        <x:f>IFERROR(I34/F34,0)</x:f>
        <x:v>0</x:v>
      </x:c>
      <x:c r="P34" s="39" t="n">
        <x:f>IFERROR(J34/D34,0)</x:f>
        <x:v>0</x:v>
      </x:c>
      <x:c r="Q34" s="20" t="str">
        <x:f>IF(COUNTA(A34:J34)=0,"",IF(COUNTA(A34:J34)=10,"OK","CHECK"))</x:f>
      </x:c>
    </x:row>
  </x:sheetData>
  <x:mergeCells>
    <x:mergeCell ref="A1:Q1"/>
    <x:mergeCell ref="A2:Q2"/>
  </x:mergeCells>
  <x:conditionalFormatting sqref="Q5:Q34">
    <x:cfRule type="containsText" dxfId="0" priority="1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</x:cols>
  <x:sheetData>
    <x:row r="1" ht="40" customHeight="1">
      <x:c r="A1" s="3" t="str">
        <x:v>DECISION RULES</x:v>
      </x:c>
      <x:c r="B1" s="3"/>
      <x:c r="C1" s="3"/>
      <x:c r="D1" s="3"/>
      <x:c r="E1" s="3"/>
    </x:row>
    <x:row r="2" ht="24" customHeight="1">
      <x:c r="A2" s="42" t="str">
        <x:v>Thay benchmark bằng dữ liệu lịch sử và unit economics của doanh nghiệp</x:v>
      </x:c>
      <x:c r="B2" s="42"/>
      <x:c r="C2" s="42"/>
      <x:c r="D2" s="42"/>
      <x:c r="E2" s="42"/>
    </x:row>
    <x:row r="4" ht="30" customHeight="1">
      <x:c r="A4" s="13" t="str">
        <x:v>Metric</x:v>
      </x:c>
      <x:c r="B4" s="13" t="str">
        <x:v>Tín hiệu tốt</x:v>
      </x:c>
      <x:c r="C4" s="13" t="str">
        <x:v>Cần quan sát</x:v>
      </x:c>
      <x:c r="D4" s="13" t="str">
        <x:v>Cảnh báo</x:v>
      </x:c>
      <x:c r="E4" s="13" t="str">
        <x:v>Hành động gợi ý</x:v>
      </x:c>
    </x:row>
    <x:row r="5">
      <x:c r="A5" s="19" t="str">
        <x:v>Data Quality</x:v>
      </x:c>
      <x:c r="B5" s="19" t="str">
        <x:v>OK</x:v>
      </x:c>
      <x:c r="C5" s="19" t="str">
        <x:v>-</x:v>
      </x:c>
      <x:c r="D5" s="19" t="str">
        <x:v>CHECK</x:v>
      </x:c>
      <x:c r="E5" s="19" t="str">
        <x:v>Dừng đọc performance; sửa tracking/input trước</x:v>
      </x:c>
    </x:row>
    <x:row r="6">
      <x:c r="A6" s="19" t="str">
        <x:v>CTR</x:v>
      </x:c>
      <x:c r="B6" s="19" t="str">
        <x:v>Tăng so baseline</x:v>
      </x:c>
      <x:c r="C6" s="19" t="str">
        <x:v>Dao động trong baseline</x:v>
      </x:c>
      <x:c r="D6" s="19" t="str">
        <x:v>Giảm mạnh 2-3 ngày</x:v>
      </x:c>
      <x:c r="E6" s="19" t="str">
        <x:v>Kiểm hook, offer, fatigue và placement</x:v>
      </x:c>
    </x:row>
    <x:row r="7">
      <x:c r="A7" s="19" t="str">
        <x:v>CPL</x:v>
      </x:c>
      <x:c r="B7" s="19" t="str">
        <x:v>Dưới ngưỡng</x:v>
      </x:c>
      <x:c r="C7" s="19" t="str">
        <x:v>±10% ngưỡng</x:v>
      </x:c>
      <x:c r="D7" s="19" t="str">
        <x:v>Vượt ngưỡng liên tục</x:v>
      </x:c>
      <x:c r="E7" s="19" t="str">
        <x:v>Tách creative/landing/sales feedback</x:v>
      </x:c>
    </x:row>
    <x:row r="8">
      <x:c r="A8" s="19" t="str">
        <x:v>Qualified Rate</x:v>
      </x:c>
      <x:c r="B8" s="19" t="str">
        <x:v>Tăng</x:v>
      </x:c>
      <x:c r="C8" s="19" t="str">
        <x:v>Ổn định</x:v>
      </x:c>
      <x:c r="D8" s="19" t="str">
        <x:v>Giảm dù CPL tốt</x:v>
      </x:c>
      <x:c r="E8" s="19" t="str">
        <x:v>Kiểm target, lời hứa quảng cáo và tiêu chuẩn lead</x:v>
      </x:c>
    </x:row>
    <x:row r="9">
      <x:c r="A9" s="19" t="str">
        <x:v>ROAS</x:v>
      </x:c>
      <x:c r="B9" s="19" t="str">
        <x:v>Trên break-even</x:v>
      </x:c>
      <x:c r="C9" s="19" t="str">
        <x:v>Gần break-even</x:v>
      </x:c>
      <x:c r="D9" s="19" t="str">
        <x:v>Dưới break-even</x:v>
      </x:c>
      <x:c r="E9" s="19" t="str">
        <x:v>Kiểm biên đóng góp và toàn funnel trước khi scale</x:v>
      </x:c>
    </x:row>
    <x:row r="10">
      <x:c r="A10" s="20" t="str">
        <x:v>Frequency</x:v>
      </x:c>
      <x:c r="B10" s="20" t="str">
        <x:v>Trong baseline</x:v>
      </x:c>
      <x:c r="C10" s="20" t="str">
        <x:v>Tăng nhưng CTR ổn</x:v>
      </x:c>
      <x:c r="D10" s="20" t="str">
        <x:v>Tăng + CTR giảm</x:v>
      </x:c>
      <x:c r="E10" s="20" t="str">
        <x:v>Mở creative mới trước khi mở target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4" hidden="0" customWidth="1"/>
    <x:col min="5" max="5" width="32" hidden="0" customWidth="1"/>
    <x:col min="6" max="6" width="18" hidden="0" customWidth="1"/>
    <x:col min="7" max="7" width="14" hidden="0" customWidth="1"/>
    <x:col min="8" max="8" width="16" hidden="0" customWidth="1"/>
  </x:cols>
  <x:sheetData>
    <x:row r="1" ht="40" customHeight="1">
      <x:c r="A1" s="3" t="str">
        <x:v>REVIEW 3D / 7D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45" t="str">
        <x:v>Ghi quyết định thành câu hoàn chỉnh - không chỉ đổi ngân sách</x:v>
      </x:c>
      <x:c r="B2" s="45"/>
      <x:c r="C2" s="45"/>
      <x:c r="D2" s="45"/>
      <x:c r="E2" s="45"/>
      <x:c r="F2" s="45"/>
      <x:c r="G2" s="45"/>
      <x:c r="H2" s="45"/>
    </x:row>
    <x:row r="4" ht="30" customHeight="1">
      <x:c r="A4" s="13" t="str">
        <x:v>Mốc</x:v>
      </x:c>
      <x:c r="B4" s="13" t="str">
        <x:v>Campaign</x:v>
      </x:c>
      <x:c r="C4" s="13" t="str">
        <x:v>Tín hiệu</x:v>
      </x:c>
      <x:c r="D4" s="13" t="str">
        <x:v>Giả thuyết</x:v>
      </x:c>
      <x:c r="E4" s="13" t="str">
        <x:v>Hành động</x:v>
      </x:c>
      <x:c r="F4" s="13" t="str">
        <x:v>Owner</x:v>
      </x:c>
      <x:c r="G4" s="13" t="str">
        <x:v>Review tiếp</x:v>
      </x:c>
      <x:c r="H4" s="13" t="str">
        <x:v>Quyết định</x:v>
      </x:c>
    </x:row>
    <x:row r="5">
      <x:c r="A5" s="19" t="str">
        <x:v>Ngày 3</x:v>
      </x:c>
      <x:c r="B5" s="19" t="str">
        <x:v>SME Audit - Creative A</x:v>
      </x:c>
      <x:c r="C5" s="19" t="str">
        <x:v>CTR tốt; qualified rate 35%</x:v>
      </x:c>
      <x:c r="D5" s="19" t="str">
        <x:v>Hook hút đúng nhu cầu nhưng form còn rộng</x:v>
      </x:c>
      <x:c r="E5" s="19" t="str">
        <x:v>Giữ campaign; bổ sung câu hỏi lọc form</x:v>
      </x:c>
      <x:c r="F5" s="19" t="str">
        <x:v>Performance</x:v>
      </x:c>
      <x:c r="G5" s="27" t="n">
        <x:v>46242</x:v>
      </x:c>
      <x:c r="H5" s="19" t="str">
        <x:v>GIỮ</x:v>
      </x:c>
    </x:row>
    <x:row r="6">
      <x:c r="A6" s="19" t="str">
        <x:v>Ngày 7</x:v>
      </x:c>
      <x:c r="B6" s="19" t="str">
        <x:v>Live Ops - Hook A</x:v>
      </x:c>
      <x:c r="C6" s="19" t="str">
        <x:v>Clicks cao; qualified rate thấp</x:v>
      </x:c>
      <x:c r="D6" s="19" t="str">
        <x:v>Creative tạo tò mò nhưng chưa nói rõ đối tượng</x:v>
      </x:c>
      <x:c r="E6" s="19" t="str">
        <x:v>Sửa opening + exclude tệp không phù hợp</x:v>
      </x:c>
      <x:c r="F6" s="19" t="str">
        <x:v>Content + Performance</x:v>
      </x:c>
      <x:c r="G6" s="27" t="n">
        <x:v>46246</x:v>
      </x:c>
      <x:c r="H6" s="19" t="str">
        <x:v>SỬA</x:v>
      </x:c>
    </x:row>
    <x:row r="7">
      <x:c r="A7" s="25"/>
      <x:c r="B7" s="25"/>
      <x:c r="C7" s="25"/>
      <x:c r="D7" s="25"/>
      <x:c r="E7" s="25"/>
      <x:c r="F7" s="25"/>
      <x:c r="G7" s="28"/>
      <x:c r="H7" s="25"/>
    </x:row>
    <x:row r="8">
      <x:c r="A8" s="25"/>
      <x:c r="B8" s="25"/>
      <x:c r="C8" s="25"/>
      <x:c r="D8" s="25"/>
      <x:c r="E8" s="25"/>
      <x:c r="F8" s="25"/>
      <x:c r="G8" s="28"/>
      <x:c r="H8" s="25"/>
    </x:row>
    <x:row r="9">
      <x:c r="A9" s="25"/>
      <x:c r="B9" s="25"/>
      <x:c r="C9" s="25"/>
      <x:c r="D9" s="25"/>
      <x:c r="E9" s="25"/>
      <x:c r="F9" s="25"/>
      <x:c r="G9" s="28"/>
      <x:c r="H9" s="25"/>
    </x:row>
    <x:row r="10">
      <x:c r="A10" s="25"/>
      <x:c r="B10" s="25"/>
      <x:c r="C10" s="25"/>
      <x:c r="D10" s="25"/>
      <x:c r="E10" s="25"/>
      <x:c r="F10" s="25"/>
      <x:c r="G10" s="28"/>
      <x:c r="H10" s="25"/>
    </x:row>
    <x:row r="11">
      <x:c r="A11" s="25"/>
      <x:c r="B11" s="25"/>
      <x:c r="C11" s="25"/>
      <x:c r="D11" s="25"/>
      <x:c r="E11" s="25"/>
      <x:c r="F11" s="25"/>
      <x:c r="G11" s="28"/>
      <x:c r="H11" s="25"/>
    </x:row>
    <x:row r="12">
      <x:c r="A12" s="25"/>
      <x:c r="B12" s="25"/>
      <x:c r="C12" s="25"/>
      <x:c r="D12" s="25"/>
      <x:c r="E12" s="25"/>
      <x:c r="F12" s="25"/>
      <x:c r="G12" s="28"/>
      <x:c r="H12" s="25"/>
    </x:row>
    <x:row r="13">
      <x:c r="A13" s="25"/>
      <x:c r="B13" s="25"/>
      <x:c r="C13" s="25"/>
      <x:c r="D13" s="25"/>
      <x:c r="E13" s="25"/>
      <x:c r="F13" s="25"/>
      <x:c r="G13" s="28"/>
      <x:c r="H13" s="25"/>
    </x:row>
    <x:row r="14">
      <x:c r="A14" s="25"/>
      <x:c r="B14" s="25"/>
      <x:c r="C14" s="25"/>
      <x:c r="D14" s="25"/>
      <x:c r="E14" s="25"/>
      <x:c r="F14" s="25"/>
      <x:c r="G14" s="28"/>
      <x:c r="H14" s="25"/>
    </x:row>
    <x:row r="15">
      <x:c r="A15" s="25"/>
      <x:c r="B15" s="25"/>
      <x:c r="C15" s="25"/>
      <x:c r="D15" s="25"/>
      <x:c r="E15" s="25"/>
      <x:c r="F15" s="25"/>
      <x:c r="G15" s="28"/>
      <x:c r="H15" s="25"/>
    </x:row>
    <x:row r="16">
      <x:c r="A16" s="25"/>
      <x:c r="B16" s="25"/>
      <x:c r="C16" s="25"/>
      <x:c r="D16" s="25"/>
      <x:c r="E16" s="25"/>
      <x:c r="F16" s="25"/>
      <x:c r="G16" s="28"/>
      <x:c r="H16" s="25"/>
    </x:row>
    <x:row r="17">
      <x:c r="A17" s="25"/>
      <x:c r="B17" s="25"/>
      <x:c r="C17" s="25"/>
      <x:c r="D17" s="25"/>
      <x:c r="E17" s="25"/>
      <x:c r="F17" s="25"/>
      <x:c r="G17" s="28"/>
      <x:c r="H17" s="25"/>
    </x:row>
    <x:row r="18">
      <x:c r="A18" s="25"/>
      <x:c r="B18" s="25"/>
      <x:c r="C18" s="25"/>
      <x:c r="D18" s="25"/>
      <x:c r="E18" s="25"/>
      <x:c r="F18" s="25"/>
      <x:c r="G18" s="28"/>
      <x:c r="H18" s="25"/>
    </x:row>
    <x:row r="19">
      <x:c r="A19" s="25"/>
      <x:c r="B19" s="25"/>
      <x:c r="C19" s="25"/>
      <x:c r="D19" s="25"/>
      <x:c r="E19" s="25"/>
      <x:c r="F19" s="25"/>
      <x:c r="G19" s="28"/>
      <x:c r="H19" s="25"/>
    </x:row>
    <x:row r="20">
      <x:c r="A20" s="25"/>
      <x:c r="B20" s="25"/>
      <x:c r="C20" s="25"/>
      <x:c r="D20" s="25"/>
      <x:c r="E20" s="25"/>
      <x:c r="F20" s="25"/>
      <x:c r="G20" s="28"/>
      <x:c r="H20" s="25"/>
    </x:row>
    <x:row r="21">
      <x:c r="A21" s="25"/>
      <x:c r="B21" s="25"/>
      <x:c r="C21" s="25"/>
      <x:c r="D21" s="25"/>
      <x:c r="E21" s="25"/>
      <x:c r="F21" s="25"/>
      <x:c r="G21" s="28"/>
      <x:c r="H21" s="25"/>
    </x:row>
    <x:row r="22">
      <x:c r="A22" s="25"/>
      <x:c r="B22" s="25"/>
      <x:c r="C22" s="25"/>
      <x:c r="D22" s="25"/>
      <x:c r="E22" s="25"/>
      <x:c r="F22" s="25"/>
      <x:c r="G22" s="28"/>
      <x:c r="H22" s="25"/>
    </x:row>
    <x:row r="23">
      <x:c r="A23" s="25"/>
      <x:c r="B23" s="25"/>
      <x:c r="C23" s="25"/>
      <x:c r="D23" s="25"/>
      <x:c r="E23" s="25"/>
      <x:c r="F23" s="25"/>
      <x:c r="G23" s="28"/>
      <x:c r="H23" s="25"/>
    </x:row>
    <x:row r="24">
      <x:c r="A24" s="25"/>
      <x:c r="B24" s="25"/>
      <x:c r="C24" s="25"/>
      <x:c r="D24" s="25"/>
      <x:c r="E24" s="25"/>
      <x:c r="F24" s="25"/>
      <x:c r="G24" s="28"/>
      <x:c r="H24" s="25"/>
    </x:row>
    <x:row r="25">
      <x:c r="A25" s="25"/>
      <x:c r="B25" s="25"/>
      <x:c r="C25" s="25"/>
      <x:c r="D25" s="25"/>
      <x:c r="E25" s="25"/>
      <x:c r="F25" s="25"/>
      <x:c r="G25" s="28"/>
      <x:c r="H25" s="25"/>
    </x:row>
    <x:row r="26">
      <x:c r="A26" s="25"/>
      <x:c r="B26" s="25"/>
      <x:c r="C26" s="25"/>
      <x:c r="D26" s="25"/>
      <x:c r="E26" s="25"/>
      <x:c r="F26" s="25"/>
      <x:c r="G26" s="28"/>
      <x:c r="H26" s="25"/>
    </x:row>
    <x:row r="27">
      <x:c r="A27" s="25"/>
      <x:c r="B27" s="25"/>
      <x:c r="C27" s="25"/>
      <x:c r="D27" s="25"/>
      <x:c r="E27" s="25"/>
      <x:c r="F27" s="25"/>
      <x:c r="G27" s="28"/>
      <x:c r="H27" s="25"/>
    </x:row>
    <x:row r="28">
      <x:c r="A28" s="25"/>
      <x:c r="B28" s="25"/>
      <x:c r="C28" s="25"/>
      <x:c r="D28" s="25"/>
      <x:c r="E28" s="25"/>
      <x:c r="F28" s="25"/>
      <x:c r="G28" s="28"/>
      <x:c r="H28" s="25"/>
    </x:row>
    <x:row r="29">
      <x:c r="A29" s="25"/>
      <x:c r="B29" s="25"/>
      <x:c r="C29" s="25"/>
      <x:c r="D29" s="25"/>
      <x:c r="E29" s="25"/>
      <x:c r="F29" s="25"/>
      <x:c r="G29" s="28"/>
      <x:c r="H29" s="25"/>
    </x:row>
    <x:row r="30">
      <x:c r="A30" s="25"/>
      <x:c r="B30" s="25"/>
      <x:c r="C30" s="25"/>
      <x:c r="D30" s="25"/>
      <x:c r="E30" s="25"/>
      <x:c r="F30" s="25"/>
      <x:c r="G30" s="28"/>
      <x:c r="H30" s="25"/>
    </x:row>
    <x:row r="31">
      <x:c r="A31" s="25"/>
      <x:c r="B31" s="25"/>
      <x:c r="C31" s="25"/>
      <x:c r="D31" s="25"/>
      <x:c r="E31" s="25"/>
      <x:c r="F31" s="25"/>
      <x:c r="G31" s="28"/>
      <x:c r="H31" s="25"/>
    </x:row>
    <x:row r="32">
      <x:c r="A32" s="25"/>
      <x:c r="B32" s="25"/>
      <x:c r="C32" s="25"/>
      <x:c r="D32" s="25"/>
      <x:c r="E32" s="25"/>
      <x:c r="F32" s="25"/>
      <x:c r="G32" s="28"/>
      <x:c r="H32" s="25"/>
    </x:row>
    <x:row r="33">
      <x:c r="A33" s="25"/>
      <x:c r="B33" s="25"/>
      <x:c r="C33" s="25"/>
      <x:c r="D33" s="25"/>
      <x:c r="E33" s="25"/>
      <x:c r="F33" s="25"/>
      <x:c r="G33" s="28"/>
      <x:c r="H33" s="25"/>
    </x:row>
    <x:row r="34">
      <x:c r="A34" s="26"/>
      <x:c r="B34" s="26"/>
      <x:c r="C34" s="26"/>
      <x:c r="D34" s="26"/>
      <x:c r="E34" s="26"/>
      <x:c r="F34" s="26"/>
      <x:c r="G34" s="29"/>
      <x:c r="H34" s="26"/>
    </x:row>
  </x:sheetData>
  <x:mergeCells>
    <x:mergeCell ref="A1:H1"/>
    <x:mergeCell ref="A2:H2"/>
  </x:mergeCells>
  <x:dataValidations count="1">
    <x:dataValidation type="list" sqref="H5:H34">
      <x:formula1>"GIỮ,TĂNG,SỬA,GIẢM,DỪNG"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40" customHeight="1">
      <x:c r="A1" s="3" t="str">
        <x:v>ADS DECISION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Các KPI tổng hợp từ CAMPAIGN_DATA - dữ liệu mẫu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48" t="str">
        <x:v>TỔNG CHI</x:v>
      </x:c>
      <x:c r="B4" s="48"/>
      <x:c r="C4" s="48"/>
      <x:c r="E4" s="48" t="str">
        <x:v>TỔNG LEAD</x:v>
      </x:c>
      <x:c r="F4" s="48"/>
      <x:c r="G4" s="48"/>
      <x:c r="I4" s="48" t="str">
        <x:v>QUALIFIED RATE</x:v>
      </x:c>
      <x:c r="J4" s="48"/>
      <x:c r="K4" s="48"/>
    </x:row>
    <x:row r="5">
      <x:c r="A5" s="76" t="n">
        <x:f>SUM('CAMPAIGN_DATA'!D5:D34)</x:f>
        <x:v>4800000</x:v>
      </x:c>
      <x:c r="B5" s="77"/>
      <x:c r="C5" s="78"/>
      <x:c r="E5" s="76" t="n">
        <x:f>SUM('CAMPAIGN_DATA'!G5:G34)</x:f>
        <x:v>362</x:v>
      </x:c>
      <x:c r="F5" s="77"/>
      <x:c r="G5" s="78"/>
      <x:c r="I5" s="103" t="n">
        <x:f>IFERROR(SUM('CAMPAIGN_DATA'!H5:H34)/SUM('CAMPAIGN_DATA'!G5:G34),0)</x:f>
        <x:v>0.3729281767955801</x:v>
      </x:c>
      <x:c r="J5" s="104"/>
      <x:c r="K5" s="105"/>
    </x:row>
    <x:row r="6">
      <x:c r="A6" s="79"/>
      <x:c r="B6" s="80"/>
      <x:c r="C6" s="81"/>
      <x:c r="E6" s="79"/>
      <x:c r="F6" s="80"/>
      <x:c r="G6" s="81"/>
      <x:c r="I6" s="106"/>
      <x:c r="J6" s="107"/>
      <x:c r="K6" s="108"/>
    </x:row>
    <x:row r="7">
      <x:c r="A7" s="82"/>
      <x:c r="B7" s="83"/>
      <x:c r="C7" s="84"/>
      <x:c r="E7" s="82"/>
      <x:c r="F7" s="83"/>
      <x:c r="G7" s="84"/>
      <x:c r="I7" s="109"/>
      <x:c r="J7" s="110"/>
      <x:c r="K7" s="111"/>
    </x:row>
    <x:row r="10" ht="30" customHeight="1">
      <x:c r="A10" s="13" t="str">
        <x:v>Platform</x:v>
      </x:c>
      <x:c r="B10" s="13" t="str">
        <x:v>Spend</x:v>
      </x:c>
      <x:c r="C10" s="13" t="str">
        <x:v>Revenue</x:v>
      </x:c>
    </x:row>
    <x:row r="11">
      <x:c r="A11" s="19" t="str">
        <x:v>Meta</x:v>
      </x:c>
      <x:c r="B11" s="30" t="n">
        <x:f>SUMIF('CAMPAIGN_DATA'!B5:B34,A11,'CAMPAIGN_DATA'!D5:D34)</x:f>
        <x:v>3200000</x:v>
      </x:c>
      <x:c r="C11" s="30" t="n">
        <x:f>SUMIF('CAMPAIGN_DATA'!B5:B34,A11,'CAMPAIGN_DATA'!J5:J34)</x:f>
        <x:v>26400000</x:v>
      </x:c>
    </x:row>
    <x:row r="12">
      <x:c r="A12" s="19" t="str">
        <x:v>TikTok</x:v>
      </x:c>
      <x:c r="B12" s="30" t="n">
        <x:f>SUMIF('CAMPAIGN_DATA'!B5:B34,A12,'CAMPAIGN_DATA'!D5:D34)</x:f>
        <x:v>900000</x:v>
      </x:c>
      <x:c r="C12" s="30" t="n">
        <x:f>SUMIF('CAMPAIGN_DATA'!B5:B34,A12,'CAMPAIGN_DATA'!J5:J34)</x:f>
        <x:v>5900000</x:v>
      </x:c>
    </x:row>
    <x:row r="13">
      <x:c r="A13" s="19" t="str">
        <x:v>Google</x:v>
      </x:c>
      <x:c r="B13" s="30" t="n">
        <x:f>SUMIF('CAMPAIGN_DATA'!B5:B34,A13,'CAMPAIGN_DATA'!D5:D34)</x:f>
        <x:v>700000</x:v>
      </x:c>
      <x:c r="C13" s="30" t="n">
        <x:f>SUMIF('CAMPAIGN_DATA'!B5:B34,A13,'CAMPAIGN_DATA'!J5:J34)</x:f>
        <x:v>7200000</x:v>
      </x:c>
    </x:row>
    <x:row r="14">
      <x:c r="A14" s="20" t="str">
        <x:v>Zalo</x:v>
      </x:c>
      <x:c r="B14" s="35" t="n">
        <x:f>SUMIF('CAMPAIGN_DATA'!B5:B34,A14,'CAMPAIGN_DATA'!D5:D34)</x:f>
        <x:v>0</x:v>
      </x:c>
      <x:c r="C14" s="35" t="n">
        <x:f>SUMIF('CAMPAIGN_DATA'!B5:B34,A14,'CAMPAIGN_DATA'!J5:J34)</x:f>
        <x:v>0</x:v>
      </x:c>
    </x:row>
  </x:sheetData>
  <x:mergeCells>
    <x:mergeCell ref="A1:M1"/>
    <x:mergeCell ref="A2:M2"/>
    <x:mergeCell ref="A4:C4"/>
    <x:mergeCell ref="A5:C7"/>
    <x:mergeCell ref="E4:G4"/>
    <x:mergeCell ref="E5:G7"/>
    <x:mergeCell ref="I4:K4"/>
    <x:mergeCell ref="I5:K7"/>
  </x:mergeCells>
  <x:pageMargins left="0.7" right="0.7" top="0.75" bottom="0.75" header="0.3" footer="0.3"/>
  <x:drawing xmlns:r="http://schemas.openxmlformats.org/officeDocument/2006/relationships" r:id="R8c24e53a61bf41f2"/>
</x:worksheet>
</file>